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/>
  <mc:AlternateContent xmlns:mc="http://schemas.openxmlformats.org/markup-compatibility/2006">
    <mc:Choice Requires="x15">
      <x15ac:absPath xmlns:x15ac="http://schemas.microsoft.com/office/spreadsheetml/2010/11/ac" url="C:\Users\21010722\Downloads\"/>
    </mc:Choice>
  </mc:AlternateContent>
  <xr:revisionPtr revIDLastSave="0" documentId="13_ncr:1_{F430D286-B338-4024-AA5B-DADBFA8C8008}" xr6:coauthVersionLast="36" xr6:coauthVersionMax="47" xr10:uidLastSave="{00000000-0000-0000-0000-000000000000}"/>
  <bookViews>
    <workbookView xWindow="0" yWindow="0" windowWidth="20490" windowHeight="7545" activeTab="1" xr2:uid="{00000000-000D-0000-FFFF-FFFF00000000}"/>
  </bookViews>
  <sheets>
    <sheet name="Premissas" sheetId="1" r:id="rId1"/>
    <sheet name="Receita" sheetId="2" r:id="rId2"/>
    <sheet name="Investimentos_infra" sheetId="3" r:id="rId3"/>
    <sheet name="Despesas" sheetId="4" r:id="rId4"/>
    <sheet name="Custos" sheetId="5" r:id="rId5"/>
    <sheet name="Funcionários" sheetId="6" r:id="rId6"/>
    <sheet name="Resultados" sheetId="7" r:id="rId7"/>
  </sheets>
  <definedNames>
    <definedName name="Aluguel_condomínio_e_IPTU_imóvel">Premissas!#REF!</definedName>
    <definedName name="assinatura">Premissas!$B$25</definedName>
    <definedName name="Benefícios_Funcionários_Assistência_Médica">Premissas!#REF!</definedName>
    <definedName name="Benefícios_Funcionários_VISA_VALE">Premissas!#REF!</definedName>
    <definedName name="Cancelamento_da_transferência_de_proprietário">Premissas!#REF!</definedName>
    <definedName name="Cancelamento_do_Gravame">Premissas!#REF!</definedName>
    <definedName name="Company">Premissas!$B$7</definedName>
    <definedName name="Comunicação_de_venda_arrendamento_mercantil">Premissas!#REF!</definedName>
    <definedName name="Consulta_a_base_de_dados__Estadual_e_Federal">Premissas!#REF!</definedName>
    <definedName name="Consulta_de_histórico_do_veículo">Premissas!#REF!</definedName>
    <definedName name="csll">Premissas!$B$20</definedName>
    <definedName name="currency">Premissas!$B$10</definedName>
    <definedName name="Custo_Mensal_Hospedagem_dedicada">Premissas!#REF!</definedName>
    <definedName name="Custo_Mensal_Telefonia_e_Internet">Premissas!#REF!</definedName>
    <definedName name="Custo_Sistema_Cancel_Transf_Proprietário">Premissas!#REF!</definedName>
    <definedName name="Custo_Sistema_Cancelamento_Gravame">Premissas!#REF!</definedName>
    <definedName name="Custo_Sistema_Comunicação_de_venda_arrendamento_mercantil">Premissas!#REF!</definedName>
    <definedName name="Custo_Sistema_Consulta_Base_Dados">Premissas!#REF!</definedName>
    <definedName name="Custo_Sistema_Consulta_Histórico">Premissas!#REF!</definedName>
    <definedName name="Custo_Sistema_Quitação_Baixa_Gravame">Premissas!#REF!</definedName>
    <definedName name="Custo_Sistema_Registro_Contrato_Alienação_Fiduciária">Premissas!#REF!</definedName>
    <definedName name="Custo_Sistema_Registro_Gravame">Premissas!#REF!</definedName>
    <definedName name="Custo_Sistema_Transferência">Premissas!#REF!</definedName>
    <definedName name="Demanda_Acre">Premissas!#REF!</definedName>
    <definedName name="Demanda_Alagoas">Premissas!#REF!</definedName>
    <definedName name="Demanda_Amapá">Premissas!#REF!</definedName>
    <definedName name="Demanda_Amazonas">Premissas!#REF!</definedName>
    <definedName name="Demanda_Bahia">Premissas!#REF!</definedName>
    <definedName name="Demanda_Ceará">Premissas!#REF!</definedName>
    <definedName name="Demanda_Distrito_Federal">Premissas!#REF!</definedName>
    <definedName name="Demanda_Espírito_Santo">Premissas!#REF!</definedName>
    <definedName name="Demanda_Goiás">Premissas!#REF!</definedName>
    <definedName name="Demanda_Maranhão">Premissas!#REF!</definedName>
    <definedName name="Demanda_Mato_Grosso">Premissas!#REF!</definedName>
    <definedName name="Demanda_Mato_Grosso_do_Sul">Premissas!#REF!</definedName>
    <definedName name="Demanda_Minas_Gerais">Premissas!#REF!</definedName>
    <definedName name="Demanda_Pará">Premissas!#REF!</definedName>
    <definedName name="Demanda_Paraíba">Premissas!#REF!</definedName>
    <definedName name="Demanda_Paraná">Premissas!#REF!</definedName>
    <definedName name="Demanda_Pernambuco">Premissas!#REF!</definedName>
    <definedName name="Demanda_Piauí">Premissas!#REF!</definedName>
    <definedName name="Demanda_Rio_de_Janeiro">Premissas!#REF!</definedName>
    <definedName name="Demanda_Rio_Grande_do_Norte">Premissas!#REF!</definedName>
    <definedName name="Demanda_Rio_Grande_do_Sul">Premissas!#REF!</definedName>
    <definedName name="Demanda_Rondônia">Premissas!#REF!</definedName>
    <definedName name="Demanda_Roraima">Premissas!#REF!</definedName>
    <definedName name="Demanda_Santa_Catarina">Premissas!#REF!</definedName>
    <definedName name="Demanda_São_Paulo">Premissas!#REF!</definedName>
    <definedName name="Demanda_Sergipe">Premissas!#REF!</definedName>
    <definedName name="Demanda_Tocantins">Premissas!#REF!</definedName>
    <definedName name="Desconto_em_relação_ao_concorrente">Premissas!#REF!</definedName>
    <definedName name="Desenvolvimento_Novos_Produtos_Porcentual_do_faturamento">Premissas!#REF!</definedName>
    <definedName name="Desp_MKT_Divulgação">Premissas!#REF!</definedName>
    <definedName name="Desp_MKT_Relacionamento">Premissas!#REF!</definedName>
    <definedName name="Desp_MKT_Viagens">Premissas!#REF!</definedName>
    <definedName name="Desp_Novo_Escritório_Comercial_Aluguel_condomínio_e_IPTU_imóvel">Premissas!#REF!</definedName>
    <definedName name="Desp_Novo_Escritório_Comercial_Infra_estrutura_geral">Premissas!#REF!</definedName>
    <definedName name="Desp_Novo_Escritório_Comercial_Telefonia">Premissas!#REF!</definedName>
    <definedName name="Despesa_Mensal_Aluguel__condomínio_e_IPTU_imóvel">Premissas!#REF!</definedName>
    <definedName name="Despesa_Mensal_Assessoria_jurídica">Premissas!#REF!</definedName>
    <definedName name="Despesa_Mensal_Contador">Premissas!#REF!</definedName>
    <definedName name="Despesa_Mensal_Despesas_Bancárias">Premissas!#REF!</definedName>
    <definedName name="Despesa_Mensal_Energia_Elétrica">Premissas!#REF!</definedName>
    <definedName name="Despesa_Mensal_Limpeza_e_copa_terceirizado">Premissas!#REF!</definedName>
    <definedName name="Despesa_Mensal_Material_Escritório">Premissas!#REF!</definedName>
    <definedName name="Despesa_Mensal_Material_Informática">Premissas!#REF!</definedName>
    <definedName name="Despesa_Mensal_Outros">Premissas!#REF!</definedName>
    <definedName name="Despesa_Mensal_Treinamento">Premissas!#REF!</definedName>
    <definedName name="emailmkt">Premissas!#REF!</definedName>
    <definedName name="emp">Premissas!#REF!</definedName>
    <definedName name="Encargos_sobre_Salários_dos_Estagiários">Premissas!#REF!</definedName>
    <definedName name="Encargos_sobre_Salários_dos_Funcionários">Premissas!#REF!</definedName>
    <definedName name="Encargos_sobre_Salários_dos_Sócios">Premissas!#REF!</definedName>
    <definedName name="end">Premissas!$B$9</definedName>
    <definedName name="Energia_Elétrica">Premissas!#REF!</definedName>
    <definedName name="imp_fat">Premissas!$B$18</definedName>
    <definedName name="Impostos_CSLL">Premissas!#REF!</definedName>
    <definedName name="Impostos_Impostos_sobre_receita_bruta_pis_iss_cofins">Premissas!#REF!</definedName>
    <definedName name="Impostos_IR">Premissas!#REF!</definedName>
    <definedName name="Invest_Pré_Oper_Infra_Estrutura">Premissas!#REF!</definedName>
    <definedName name="Invest_Pré_Operacional_Infra_Estrutura">Premissas!#REF!</definedName>
    <definedName name="Invest_Pré_Operacional_Outros">Premissas!#REF!</definedName>
    <definedName name="ir">Premissas!$B$19</definedName>
    <definedName name="ir_csll">Premissas!$B$20</definedName>
    <definedName name="ISS">Premissas!$B$16</definedName>
    <definedName name="Material_de_Escritório">Premissas!#REF!</definedName>
    <definedName name="Material_de_Informática">Premissas!#REF!</definedName>
    <definedName name="Quitação_e_ou_baixa_de_Gravame">Premissas!#REF!</definedName>
    <definedName name="reajuste">Premissas!$B$15</definedName>
    <definedName name="reajuste_sal">Premissas!$B$16</definedName>
    <definedName name="rec_bov">Premissas!#REF!</definedName>
    <definedName name="rec_bov2">Premissas!#REF!</definedName>
    <definedName name="rec_ovi">Premissas!#REF!</definedName>
    <definedName name="Registro_de_Gravame">Premissas!#REF!</definedName>
    <definedName name="Registro_do_Contrato_de_alienação_fiduciária">Premissas!#REF!</definedName>
    <definedName name="roy_bov">Premissas!#REF!</definedName>
    <definedName name="roy_bov2">Premissas!#REF!</definedName>
    <definedName name="roy_ovi">Premissas!#REF!</definedName>
    <definedName name="start">Premissas!$B$8</definedName>
    <definedName name="Transferência_de_propriedade">Premissas!#REF!</definedName>
    <definedName name="Valores_FENASEG_Cancelamento_Gravame">Premissas!#REF!</definedName>
    <definedName name="Valores_FENASEG_Cancelamento_Transf_Proprietário">Premissas!#REF!</definedName>
    <definedName name="Valores_FENASEG_Comunicação_de_venda_arrendamento_mercantil">Premissas!#REF!</definedName>
    <definedName name="Valores_FENASEG_Consulta_Base_Dados">Premissas!#REF!</definedName>
    <definedName name="Valores_FENASEG_Consulta_Histórico_Veículo">Premissas!#REF!</definedName>
    <definedName name="Valores_FENASEG_Quitação_Baixa_Gravame">Premissas!#REF!</definedName>
    <definedName name="Valores_FENASEG_Registro_Contrato_Alienação_Fiduciária">Premissas!#REF!</definedName>
    <definedName name="Valores_FENASEG_Registro_gravame">Premissas!#REF!</definedName>
    <definedName name="Valores_FENASEG_Transferência_Propriedade">Premissas!#REF!</definedName>
    <definedName name="Valores_Tecnobank_Cancelamento_Gravame">Premissas!#REF!</definedName>
    <definedName name="Valores_Tecnobank_Cancelamento_Transf_Proprietário">Premissas!#REF!</definedName>
    <definedName name="Valores_Tecnobank_Comunicação_de_venda_arrendamento_mercantil">Premissas!#REF!</definedName>
    <definedName name="Valores_Tecnobank_Consulta_Base_Dados">Premissas!#REF!</definedName>
    <definedName name="Valores_Tecnobank_Consulta_Histórico_Veículo">Premissas!#REF!</definedName>
    <definedName name="Valores_Tecnobank_Quitação_Baixa_Gravame">Premissas!#REF!</definedName>
    <definedName name="Valores_Tecnobank_Registro_Contrato_Alienação_Fiduciária">Premissas!#REF!</definedName>
    <definedName name="Valores_Tecnobank_Registro_gravame">Premissas!#REF!</definedName>
    <definedName name="Valores_Tecnobank_Transferência_Propriedade">Premissas!#REF!</definedName>
  </definedNames>
  <calcPr calcId="191029"/>
  <extLst>
    <ext uri="GoogleSheetsCustomDataVersion2">
      <go:sheetsCustomData xmlns:go="http://customooxmlschemas.google.com/" r:id="rId11" roundtripDataChecksum="7MgGPyUsZUa8evEmviE12Tei+H23lilt37+2I4S/5Xc="/>
    </ext>
  </extLst>
</workbook>
</file>

<file path=xl/calcChain.xml><?xml version="1.0" encoding="utf-8"?>
<calcChain xmlns="http://schemas.openxmlformats.org/spreadsheetml/2006/main">
  <c r="B32" i="1" l="1"/>
  <c r="A25" i="7"/>
  <c r="A24" i="7"/>
  <c r="A23" i="7"/>
  <c r="A2" i="7"/>
  <c r="E44" i="6"/>
  <c r="D44" i="6"/>
  <c r="C44" i="6"/>
  <c r="B44" i="6"/>
  <c r="B43" i="6"/>
  <c r="B42" i="6"/>
  <c r="B41" i="6"/>
  <c r="B64" i="6" s="1"/>
  <c r="B29" i="6"/>
  <c r="A29" i="6"/>
  <c r="B28" i="6"/>
  <c r="A28" i="6"/>
  <c r="B27" i="6"/>
  <c r="A27" i="6"/>
  <c r="B26" i="6"/>
  <c r="A26" i="6"/>
  <c r="B25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D21" i="6"/>
  <c r="D29" i="6" s="1"/>
  <c r="C21" i="6"/>
  <c r="C29" i="6" s="1"/>
  <c r="C20" i="6"/>
  <c r="C28" i="6" s="1"/>
  <c r="A20" i="6"/>
  <c r="C19" i="6"/>
  <c r="C27" i="6" s="1"/>
  <c r="A19" i="6"/>
  <c r="C18" i="6"/>
  <c r="D18" i="6" s="1"/>
  <c r="A18" i="6"/>
  <c r="C17" i="6"/>
  <c r="D17" i="6" s="1"/>
  <c r="AX13" i="6"/>
  <c r="F44" i="6" s="1"/>
  <c r="AL12" i="6"/>
  <c r="E43" i="6" s="1"/>
  <c r="D12" i="6"/>
  <c r="E12" i="6" s="1"/>
  <c r="F12" i="6" s="1"/>
  <c r="G12" i="6" s="1"/>
  <c r="H12" i="6" s="1"/>
  <c r="I12" i="6" s="1"/>
  <c r="J12" i="6" s="1"/>
  <c r="K12" i="6" s="1"/>
  <c r="L12" i="6" s="1"/>
  <c r="M12" i="6" s="1"/>
  <c r="N12" i="6" s="1"/>
  <c r="C12" i="6"/>
  <c r="AM11" i="6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L11" i="6"/>
  <c r="E42" i="6" s="1"/>
  <c r="E45" i="6" s="1"/>
  <c r="C11" i="6"/>
  <c r="D11" i="6" s="1"/>
  <c r="E11" i="6" s="1"/>
  <c r="F11" i="6" s="1"/>
  <c r="G11" i="6" s="1"/>
  <c r="H11" i="6" s="1"/>
  <c r="I11" i="6" s="1"/>
  <c r="J11" i="6" s="1"/>
  <c r="K11" i="6" s="1"/>
  <c r="L11" i="6" s="1"/>
  <c r="M11" i="6" s="1"/>
  <c r="N11" i="6" s="1"/>
  <c r="F9" i="6"/>
  <c r="G9" i="6" s="1"/>
  <c r="H9" i="6" s="1"/>
  <c r="I9" i="6" s="1"/>
  <c r="J9" i="6" s="1"/>
  <c r="K9" i="6" s="1"/>
  <c r="L9" i="6" s="1"/>
  <c r="M9" i="6" s="1"/>
  <c r="N9" i="6" s="1"/>
  <c r="A3" i="6"/>
  <c r="A2" i="6"/>
  <c r="B8" i="5"/>
  <c r="B11" i="7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B7" i="5"/>
  <c r="AY6" i="5"/>
  <c r="AZ6" i="5" s="1"/>
  <c r="BA6" i="5" s="1"/>
  <c r="BB6" i="5" s="1"/>
  <c r="BC6" i="5" s="1"/>
  <c r="BD6" i="5" s="1"/>
  <c r="BE6" i="5" s="1"/>
  <c r="BF6" i="5" s="1"/>
  <c r="BG6" i="5" s="1"/>
  <c r="BH6" i="5" s="1"/>
  <c r="BI6" i="5" s="1"/>
  <c r="AW6" i="5"/>
  <c r="N6" i="5"/>
  <c r="F6" i="5"/>
  <c r="G6" i="5" s="1"/>
  <c r="H6" i="5" s="1"/>
  <c r="I6" i="5" s="1"/>
  <c r="J6" i="5" s="1"/>
  <c r="K6" i="5" s="1"/>
  <c r="L6" i="5" s="1"/>
  <c r="M6" i="5" s="1"/>
  <c r="E6" i="5"/>
  <c r="D6" i="5"/>
  <c r="B13" i="5" s="1"/>
  <c r="C5" i="5"/>
  <c r="A2" i="5"/>
  <c r="C9" i="4"/>
  <c r="D9" i="4" s="1"/>
  <c r="E9" i="4" s="1"/>
  <c r="F9" i="4" s="1"/>
  <c r="G9" i="4" s="1"/>
  <c r="H9" i="4" s="1"/>
  <c r="I9" i="4" s="1"/>
  <c r="J9" i="4" s="1"/>
  <c r="K9" i="4" s="1"/>
  <c r="L9" i="4" s="1"/>
  <c r="M9" i="4" s="1"/>
  <c r="N9" i="4" s="1"/>
  <c r="C8" i="4"/>
  <c r="D8" i="4" s="1"/>
  <c r="E8" i="4" s="1"/>
  <c r="F8" i="4" s="1"/>
  <c r="G8" i="4" s="1"/>
  <c r="H8" i="4" s="1"/>
  <c r="I8" i="4" s="1"/>
  <c r="J8" i="4" s="1"/>
  <c r="K8" i="4" s="1"/>
  <c r="L8" i="4" s="1"/>
  <c r="M8" i="4" s="1"/>
  <c r="B8" i="4"/>
  <c r="D7" i="4"/>
  <c r="E7" i="4" s="1"/>
  <c r="F7" i="4" s="1"/>
  <c r="G7" i="4" s="1"/>
  <c r="H7" i="4" s="1"/>
  <c r="I7" i="4" s="1"/>
  <c r="J7" i="4" s="1"/>
  <c r="K7" i="4" s="1"/>
  <c r="L7" i="4" s="1"/>
  <c r="M7" i="4" s="1"/>
  <c r="B7" i="4"/>
  <c r="C6" i="4"/>
  <c r="BB5" i="4"/>
  <c r="BC5" i="4" s="1"/>
  <c r="BD5" i="4" s="1"/>
  <c r="BE5" i="4" s="1"/>
  <c r="BF5" i="4" s="1"/>
  <c r="BG5" i="4" s="1"/>
  <c r="BH5" i="4" s="1"/>
  <c r="BI5" i="4" s="1"/>
  <c r="AZ5" i="4"/>
  <c r="BA5" i="4" s="1"/>
  <c r="AY5" i="4"/>
  <c r="E5" i="4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W5" i="4" s="1"/>
  <c r="D5" i="4"/>
  <c r="D4" i="4"/>
  <c r="C4" i="4"/>
  <c r="A2" i="4"/>
  <c r="BI6" i="3"/>
  <c r="BI12" i="7" s="1"/>
  <c r="BH6" i="3"/>
  <c r="BH12" i="7" s="1"/>
  <c r="BG6" i="3"/>
  <c r="BG12" i="7" s="1"/>
  <c r="BF6" i="3"/>
  <c r="BF12" i="7" s="1"/>
  <c r="BE6" i="3"/>
  <c r="BE12" i="7" s="1"/>
  <c r="BD6" i="3"/>
  <c r="BD12" i="7" s="1"/>
  <c r="BC6" i="3"/>
  <c r="BC12" i="7" s="1"/>
  <c r="BB6" i="3"/>
  <c r="BB12" i="7" s="1"/>
  <c r="BA6" i="3"/>
  <c r="BA12" i="7" s="1"/>
  <c r="AZ6" i="3"/>
  <c r="AZ12" i="7" s="1"/>
  <c r="AY6" i="3"/>
  <c r="AY12" i="7" s="1"/>
  <c r="AW6" i="3"/>
  <c r="AW12" i="7" s="1"/>
  <c r="AV6" i="3"/>
  <c r="AV12" i="7" s="1"/>
  <c r="AU6" i="3"/>
  <c r="AU12" i="7" s="1"/>
  <c r="AT6" i="3"/>
  <c r="AT12" i="7" s="1"/>
  <c r="AS6" i="3"/>
  <c r="AS12" i="7" s="1"/>
  <c r="AR6" i="3"/>
  <c r="AR12" i="7" s="1"/>
  <c r="AQ6" i="3"/>
  <c r="AQ12" i="7" s="1"/>
  <c r="AP6" i="3"/>
  <c r="AP12" i="7" s="1"/>
  <c r="AO6" i="3"/>
  <c r="AO12" i="7" s="1"/>
  <c r="AN6" i="3"/>
  <c r="AN12" i="7" s="1"/>
  <c r="AM6" i="3"/>
  <c r="AM12" i="7" s="1"/>
  <c r="AK6" i="3"/>
  <c r="AK12" i="7" s="1"/>
  <c r="AJ6" i="3"/>
  <c r="AJ12" i="7" s="1"/>
  <c r="AI6" i="3"/>
  <c r="AI12" i="7" s="1"/>
  <c r="AH6" i="3"/>
  <c r="AH12" i="7" s="1"/>
  <c r="AG6" i="3"/>
  <c r="AG12" i="7" s="1"/>
  <c r="AF6" i="3"/>
  <c r="AF12" i="7" s="1"/>
  <c r="AE6" i="3"/>
  <c r="AE12" i="7" s="1"/>
  <c r="AD6" i="3"/>
  <c r="AD12" i="7" s="1"/>
  <c r="AC6" i="3"/>
  <c r="AC12" i="7" s="1"/>
  <c r="AB6" i="3"/>
  <c r="AB12" i="7" s="1"/>
  <c r="AA6" i="3"/>
  <c r="AA12" i="7" s="1"/>
  <c r="Y6" i="3"/>
  <c r="Y12" i="7" s="1"/>
  <c r="X6" i="3"/>
  <c r="X12" i="7" s="1"/>
  <c r="W6" i="3"/>
  <c r="W12" i="7" s="1"/>
  <c r="V6" i="3"/>
  <c r="V12" i="7" s="1"/>
  <c r="U6" i="3"/>
  <c r="U12" i="7" s="1"/>
  <c r="T6" i="3"/>
  <c r="T12" i="7" s="1"/>
  <c r="S6" i="3"/>
  <c r="S12" i="7" s="1"/>
  <c r="R6" i="3"/>
  <c r="R12" i="7" s="1"/>
  <c r="Q6" i="3"/>
  <c r="Q12" i="7" s="1"/>
  <c r="P6" i="3"/>
  <c r="P12" i="7" s="1"/>
  <c r="O6" i="3"/>
  <c r="O12" i="7" s="1"/>
  <c r="M6" i="3"/>
  <c r="M12" i="7" s="1"/>
  <c r="L6" i="3"/>
  <c r="L12" i="7" s="1"/>
  <c r="K6" i="3"/>
  <c r="K12" i="7" s="1"/>
  <c r="J6" i="3"/>
  <c r="J12" i="7" s="1"/>
  <c r="I6" i="3"/>
  <c r="I12" i="7" s="1"/>
  <c r="H6" i="3"/>
  <c r="H12" i="7" s="1"/>
  <c r="G6" i="3"/>
  <c r="G12" i="7" s="1"/>
  <c r="F6" i="3"/>
  <c r="F12" i="7" s="1"/>
  <c r="E6" i="3"/>
  <c r="E12" i="7" s="1"/>
  <c r="D6" i="3"/>
  <c r="D12" i="7" s="1"/>
  <c r="C6" i="3"/>
  <c r="C12" i="7" s="1"/>
  <c r="B5" i="3"/>
  <c r="B6" i="3" s="1"/>
  <c r="B12" i="7" s="1"/>
  <c r="B30" i="7" s="1"/>
  <c r="A2" i="3"/>
  <c r="AY9" i="2"/>
  <c r="AY7" i="7" s="1"/>
  <c r="AX9" i="2"/>
  <c r="AX7" i="7" s="1"/>
  <c r="AL9" i="2"/>
  <c r="AL7" i="7" s="1"/>
  <c r="C9" i="2"/>
  <c r="C7" i="7" s="1"/>
  <c r="B9" i="2"/>
  <c r="B7" i="7" s="1"/>
  <c r="AX5" i="2"/>
  <c r="AX6" i="7" s="1"/>
  <c r="AM5" i="2"/>
  <c r="AM6" i="7" s="1"/>
  <c r="AL5" i="2"/>
  <c r="AL6" i="7" s="1"/>
  <c r="AK5" i="2"/>
  <c r="AK6" i="7" s="1"/>
  <c r="Z5" i="2"/>
  <c r="Z6" i="7" s="1"/>
  <c r="Y5" i="2"/>
  <c r="Y6" i="7" s="1"/>
  <c r="O5" i="2"/>
  <c r="O6" i="7" s="1"/>
  <c r="N5" i="2"/>
  <c r="N6" i="7" s="1"/>
  <c r="B5" i="2"/>
  <c r="B6" i="7" s="1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F35" i="1"/>
  <c r="E35" i="1"/>
  <c r="B35" i="1"/>
  <c r="F34" i="1"/>
  <c r="E34" i="1"/>
  <c r="D34" i="1"/>
  <c r="C34" i="1"/>
  <c r="B34" i="1"/>
  <c r="F32" i="1"/>
  <c r="E32" i="1"/>
  <c r="C32" i="1"/>
  <c r="C31" i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F30" i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E30" i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B30" i="1"/>
  <c r="B11" i="2" s="1"/>
  <c r="C11" i="2" s="1"/>
  <c r="D11" i="2" s="1"/>
  <c r="E11" i="2" s="1"/>
  <c r="F11" i="2" s="1"/>
  <c r="G11" i="2" s="1"/>
  <c r="H11" i="2" s="1"/>
  <c r="I11" i="2" s="1"/>
  <c r="J11" i="2" s="1"/>
  <c r="K11" i="2" s="1"/>
  <c r="L11" i="2" s="1"/>
  <c r="M11" i="2" s="1"/>
  <c r="F29" i="1"/>
  <c r="AX7" i="2" s="1"/>
  <c r="AY7" i="2" s="1"/>
  <c r="AZ7" i="2" s="1"/>
  <c r="BA7" i="2" s="1"/>
  <c r="BB7" i="2" s="1"/>
  <c r="BC7" i="2" s="1"/>
  <c r="BD7" i="2" s="1"/>
  <c r="BE7" i="2" s="1"/>
  <c r="BF7" i="2" s="1"/>
  <c r="BG7" i="2" s="1"/>
  <c r="BH7" i="2" s="1"/>
  <c r="BI7" i="2" s="1"/>
  <c r="E29" i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D29" i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C29" i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B29" i="1"/>
  <c r="B7" i="2" s="1"/>
  <c r="C7" i="2" s="1"/>
  <c r="D7" i="2" s="1"/>
  <c r="E7" i="2" s="1"/>
  <c r="F7" i="2" s="1"/>
  <c r="G7" i="2" s="1"/>
  <c r="H7" i="2" s="1"/>
  <c r="I7" i="2" s="1"/>
  <c r="J7" i="2" s="1"/>
  <c r="K7" i="2" s="1"/>
  <c r="L7" i="2" s="1"/>
  <c r="M7" i="2" s="1"/>
  <c r="C27" i="1"/>
  <c r="C35" i="1" s="1"/>
  <c r="F23" i="1"/>
  <c r="E23" i="1"/>
  <c r="C23" i="1"/>
  <c r="N13" i="2" s="1"/>
  <c r="B18" i="1"/>
  <c r="A2" i="1"/>
  <c r="B31" i="1" l="1"/>
  <c r="B15" i="2" s="1"/>
  <c r="C15" i="2" s="1"/>
  <c r="D15" i="2" s="1"/>
  <c r="E15" i="2" s="1"/>
  <c r="F15" i="2" s="1"/>
  <c r="G15" i="2" s="1"/>
  <c r="H15" i="2" s="1"/>
  <c r="I15" i="2" s="1"/>
  <c r="J15" i="2" s="1"/>
  <c r="K15" i="2" s="1"/>
  <c r="L15" i="2" s="1"/>
  <c r="M15" i="2" s="1"/>
  <c r="F33" i="1"/>
  <c r="F36" i="1" s="1"/>
  <c r="O9" i="4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C42" i="6"/>
  <c r="O11" i="6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F42" i="6"/>
  <c r="AY11" i="6"/>
  <c r="AZ11" i="6" s="1"/>
  <c r="BA11" i="6" s="1"/>
  <c r="BB11" i="6" s="1"/>
  <c r="BC11" i="6" s="1"/>
  <c r="BD11" i="6" s="1"/>
  <c r="BE11" i="6" s="1"/>
  <c r="BF11" i="6" s="1"/>
  <c r="BG11" i="6" s="1"/>
  <c r="BH11" i="6" s="1"/>
  <c r="BI11" i="6" s="1"/>
  <c r="C43" i="6"/>
  <c r="O12" i="6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N5" i="7"/>
  <c r="N14" i="2"/>
  <c r="O13" i="2"/>
  <c r="AL13" i="2"/>
  <c r="C41" i="6"/>
  <c r="O9" i="6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D9" i="2"/>
  <c r="B9" i="3"/>
  <c r="B10" i="3" s="1"/>
  <c r="B23" i="4"/>
  <c r="E18" i="6"/>
  <c r="D26" i="6"/>
  <c r="E17" i="6"/>
  <c r="D25" i="6"/>
  <c r="B33" i="1"/>
  <c r="B36" i="1" s="1"/>
  <c r="AK6" i="2"/>
  <c r="AZ9" i="2"/>
  <c r="E31" i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C33" i="1"/>
  <c r="C36" i="1" s="1"/>
  <c r="N6" i="2"/>
  <c r="AL6" i="2"/>
  <c r="N9" i="2"/>
  <c r="B10" i="2"/>
  <c r="AX10" i="2"/>
  <c r="B13" i="2"/>
  <c r="AX13" i="2"/>
  <c r="C30" i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F31" i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C5" i="2"/>
  <c r="AA5" i="2"/>
  <c r="AY5" i="2"/>
  <c r="O6" i="2"/>
  <c r="AM6" i="2"/>
  <c r="AM9" i="2"/>
  <c r="C10" i="2"/>
  <c r="AY10" i="2"/>
  <c r="C10" i="4"/>
  <c r="C13" i="7" s="1"/>
  <c r="D27" i="1"/>
  <c r="E33" i="1"/>
  <c r="E36" i="1" s="1"/>
  <c r="B10" i="4"/>
  <c r="B13" i="7" s="1"/>
  <c r="O6" i="5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B14" i="5"/>
  <c r="Y6" i="2"/>
  <c r="E4" i="4"/>
  <c r="D6" i="4"/>
  <c r="E6" i="4" s="1"/>
  <c r="F6" i="4" s="1"/>
  <c r="G6" i="4" s="1"/>
  <c r="H6" i="4" s="1"/>
  <c r="I6" i="4" s="1"/>
  <c r="J6" i="4" s="1"/>
  <c r="K6" i="4" s="1"/>
  <c r="L6" i="4" s="1"/>
  <c r="M6" i="4" s="1"/>
  <c r="N6" i="4" s="1"/>
  <c r="P5" i="2"/>
  <c r="AN5" i="2"/>
  <c r="B6" i="2"/>
  <c r="Z6" i="2"/>
  <c r="AX6" i="2"/>
  <c r="AL10" i="2"/>
  <c r="B24" i="4"/>
  <c r="B25" i="4"/>
  <c r="F13" i="5"/>
  <c r="C26" i="6"/>
  <c r="AM12" i="6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3" i="6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D20" i="6"/>
  <c r="B45" i="6"/>
  <c r="D5" i="5"/>
  <c r="C8" i="5"/>
  <c r="C11" i="7" s="1"/>
  <c r="C25" i="6"/>
  <c r="C31" i="6" s="1"/>
  <c r="C14" i="7" s="1"/>
  <c r="D19" i="6"/>
  <c r="E21" i="6"/>
  <c r="B31" i="6"/>
  <c r="B14" i="7" s="1"/>
  <c r="N19" i="2" l="1"/>
  <c r="AA6" i="5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Y6" i="7"/>
  <c r="AZ5" i="2"/>
  <c r="AY6" i="2"/>
  <c r="P6" i="7"/>
  <c r="P6" i="2"/>
  <c r="Q5" i="2"/>
  <c r="C6" i="7"/>
  <c r="D5" i="2"/>
  <c r="C6" i="2"/>
  <c r="N7" i="7"/>
  <c r="N10" i="2"/>
  <c r="O9" i="2"/>
  <c r="AZ7" i="7"/>
  <c r="AZ10" i="2"/>
  <c r="BA9" i="2"/>
  <c r="D41" i="6"/>
  <c r="AA9" i="6"/>
  <c r="AB9" i="6" s="1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N6" i="7"/>
  <c r="AN6" i="2"/>
  <c r="AO5" i="2"/>
  <c r="D28" i="6"/>
  <c r="E20" i="6"/>
  <c r="O6" i="4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B22" i="4"/>
  <c r="E25" i="6"/>
  <c r="F17" i="6"/>
  <c r="C64" i="6"/>
  <c r="D7" i="7"/>
  <c r="D10" i="2"/>
  <c r="E9" i="2"/>
  <c r="E10" i="4"/>
  <c r="E13" i="7" s="1"/>
  <c r="F4" i="4"/>
  <c r="D10" i="4"/>
  <c r="D13" i="7" s="1"/>
  <c r="AL5" i="7"/>
  <c r="AM13" i="2"/>
  <c r="AL14" i="2"/>
  <c r="AL19" i="2" s="1"/>
  <c r="D42" i="6"/>
  <c r="D45" i="6" s="1"/>
  <c r="AA11" i="6"/>
  <c r="AB11" i="6" s="1"/>
  <c r="AC11" i="6" s="1"/>
  <c r="AD11" i="6" s="1"/>
  <c r="AE11" i="6" s="1"/>
  <c r="AF11" i="6" s="1"/>
  <c r="AG11" i="6" s="1"/>
  <c r="AH11" i="6" s="1"/>
  <c r="AI11" i="6" s="1"/>
  <c r="AJ11" i="6" s="1"/>
  <c r="F21" i="6"/>
  <c r="E29" i="6"/>
  <c r="D27" i="6"/>
  <c r="E19" i="6"/>
  <c r="F43" i="6"/>
  <c r="F45" i="6" s="1"/>
  <c r="AY12" i="6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AM7" i="7"/>
  <c r="AM10" i="2"/>
  <c r="AN9" i="2"/>
  <c r="AX5" i="7"/>
  <c r="AX14" i="2"/>
  <c r="AY13" i="2"/>
  <c r="F18" i="6"/>
  <c r="E26" i="6"/>
  <c r="O5" i="7"/>
  <c r="O14" i="2"/>
  <c r="O19" i="2" s="1"/>
  <c r="P13" i="2"/>
  <c r="C45" i="6"/>
  <c r="D43" i="6"/>
  <c r="AA12" i="6"/>
  <c r="AB12" i="6" s="1"/>
  <c r="AC12" i="6" s="1"/>
  <c r="AD12" i="6" s="1"/>
  <c r="AE12" i="6" s="1"/>
  <c r="AF12" i="6" s="1"/>
  <c r="AG12" i="6" s="1"/>
  <c r="AH12" i="6" s="1"/>
  <c r="AI12" i="6" s="1"/>
  <c r="AJ12" i="6" s="1"/>
  <c r="C13" i="5"/>
  <c r="AA6" i="7"/>
  <c r="AB5" i="2"/>
  <c r="AA6" i="2"/>
  <c r="B5" i="7"/>
  <c r="B14" i="2"/>
  <c r="B19" i="2" s="1"/>
  <c r="C13" i="2"/>
  <c r="AA9" i="4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D25" i="4"/>
  <c r="D8" i="5"/>
  <c r="D11" i="7" s="1"/>
  <c r="E5" i="5"/>
  <c r="Z9" i="2"/>
  <c r="D35" i="1"/>
  <c r="D30" i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D23" i="1"/>
  <c r="D32" i="1" s="1"/>
  <c r="C25" i="4"/>
  <c r="AY5" i="7" l="1"/>
  <c r="AY8" i="7" s="1"/>
  <c r="AY14" i="2"/>
  <c r="AY19" i="2" s="1"/>
  <c r="AZ13" i="2"/>
  <c r="AM5" i="7"/>
  <c r="AM8" i="7" s="1"/>
  <c r="AM14" i="2"/>
  <c r="AM19" i="2" s="1"/>
  <c r="AN13" i="2"/>
  <c r="AA6" i="4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D64" i="6"/>
  <c r="D6" i="7"/>
  <c r="E5" i="2"/>
  <c r="D6" i="2"/>
  <c r="AZ6" i="7"/>
  <c r="BA5" i="2"/>
  <c r="AZ6" i="2"/>
  <c r="AM9" i="4"/>
  <c r="AN9" i="4" s="1"/>
  <c r="AO9" i="4" s="1"/>
  <c r="AP9" i="4" s="1"/>
  <c r="AQ9" i="4" s="1"/>
  <c r="AR9" i="4" s="1"/>
  <c r="AS9" i="4" s="1"/>
  <c r="AT9" i="4" s="1"/>
  <c r="AU9" i="4" s="1"/>
  <c r="AV9" i="4" s="1"/>
  <c r="AW9" i="4" s="1"/>
  <c r="AX9" i="4" s="1"/>
  <c r="P5" i="7"/>
  <c r="P14" i="2"/>
  <c r="Q13" i="2"/>
  <c r="AX8" i="7"/>
  <c r="E27" i="6"/>
  <c r="F19" i="6"/>
  <c r="AL8" i="7"/>
  <c r="C22" i="4"/>
  <c r="BA7" i="7"/>
  <c r="BA10" i="2"/>
  <c r="BB9" i="2"/>
  <c r="AN7" i="7"/>
  <c r="AO9" i="2"/>
  <c r="AN10" i="2"/>
  <c r="D31" i="6"/>
  <c r="D14" i="7" s="1"/>
  <c r="E28" i="6"/>
  <c r="F20" i="6"/>
  <c r="AM6" i="5"/>
  <c r="AN6" i="5" s="1"/>
  <c r="AO6" i="5" s="1"/>
  <c r="AP6" i="5" s="1"/>
  <c r="AQ6" i="5" s="1"/>
  <c r="AR6" i="5" s="1"/>
  <c r="AS6" i="5" s="1"/>
  <c r="AT6" i="5" s="1"/>
  <c r="AU6" i="5" s="1"/>
  <c r="AV6" i="5" s="1"/>
  <c r="E41" i="6"/>
  <c r="E64" i="6" s="1"/>
  <c r="AM9" i="6"/>
  <c r="AN9" i="6" s="1"/>
  <c r="AO9" i="6" s="1"/>
  <c r="AP9" i="6" s="1"/>
  <c r="AQ9" i="6" s="1"/>
  <c r="AR9" i="6" s="1"/>
  <c r="AS9" i="6" s="1"/>
  <c r="AT9" i="6" s="1"/>
  <c r="AU9" i="6" s="1"/>
  <c r="AV9" i="6" s="1"/>
  <c r="AW9" i="6" s="1"/>
  <c r="AX9" i="6" s="1"/>
  <c r="N8" i="7"/>
  <c r="Z7" i="7"/>
  <c r="AA9" i="2"/>
  <c r="Z10" i="2"/>
  <c r="C5" i="7"/>
  <c r="C8" i="7" s="1"/>
  <c r="C14" i="2"/>
  <c r="C19" i="2" s="1"/>
  <c r="D13" i="2"/>
  <c r="AB6" i="7"/>
  <c r="AC5" i="2"/>
  <c r="AB6" i="2"/>
  <c r="O8" i="7"/>
  <c r="F10" i="4"/>
  <c r="F13" i="7" s="1"/>
  <c r="G4" i="4"/>
  <c r="N8" i="4"/>
  <c r="N7" i="4"/>
  <c r="C23" i="4" s="1"/>
  <c r="N7" i="5"/>
  <c r="Z5" i="3"/>
  <c r="N5" i="3"/>
  <c r="D13" i="5"/>
  <c r="E8" i="5"/>
  <c r="E11" i="7" s="1"/>
  <c r="F5" i="5"/>
  <c r="F29" i="6"/>
  <c r="G21" i="6"/>
  <c r="F25" i="6"/>
  <c r="G17" i="6"/>
  <c r="AO6" i="7"/>
  <c r="AO6" i="2"/>
  <c r="AP5" i="2"/>
  <c r="O7" i="7"/>
  <c r="P9" i="2"/>
  <c r="O10" i="2"/>
  <c r="Q6" i="7"/>
  <c r="Q6" i="2"/>
  <c r="R5" i="2"/>
  <c r="E7" i="7"/>
  <c r="E10" i="2"/>
  <c r="F9" i="2"/>
  <c r="D33" i="1"/>
  <c r="D36" i="1" s="1"/>
  <c r="Z13" i="2"/>
  <c r="D31" i="1"/>
  <c r="Z15" i="2" s="1"/>
  <c r="AA15" i="2" s="1"/>
  <c r="AB15" i="2" s="1"/>
  <c r="AC15" i="2" s="1"/>
  <c r="AD15" i="2" s="1"/>
  <c r="AE15" i="2" s="1"/>
  <c r="AF15" i="2" s="1"/>
  <c r="AG15" i="2" s="1"/>
  <c r="AH15" i="2" s="1"/>
  <c r="AI15" i="2" s="1"/>
  <c r="AJ15" i="2" s="1"/>
  <c r="AK15" i="2" s="1"/>
  <c r="B8" i="7"/>
  <c r="G18" i="6"/>
  <c r="F26" i="6"/>
  <c r="AX19" i="2"/>
  <c r="AC6" i="7" l="1"/>
  <c r="AD5" i="2"/>
  <c r="AC6" i="2"/>
  <c r="AL6" i="4"/>
  <c r="G29" i="6"/>
  <c r="H21" i="6"/>
  <c r="O8" i="4"/>
  <c r="P8" i="4" s="1"/>
  <c r="Q8" i="4" s="1"/>
  <c r="R8" i="4" s="1"/>
  <c r="S8" i="4" s="1"/>
  <c r="T8" i="4" s="1"/>
  <c r="U8" i="4" s="1"/>
  <c r="V8" i="4" s="1"/>
  <c r="W8" i="4" s="1"/>
  <c r="X8" i="4" s="1"/>
  <c r="Y8" i="4" s="1"/>
  <c r="C24" i="4"/>
  <c r="F41" i="6"/>
  <c r="F64" i="6" s="1"/>
  <c r="AY9" i="6"/>
  <c r="AZ9" i="6" s="1"/>
  <c r="BA9" i="6" s="1"/>
  <c r="BB9" i="6" s="1"/>
  <c r="BC9" i="6" s="1"/>
  <c r="BD9" i="6" s="1"/>
  <c r="BE9" i="6" s="1"/>
  <c r="BF9" i="6" s="1"/>
  <c r="BG9" i="6" s="1"/>
  <c r="BH9" i="6" s="1"/>
  <c r="BI9" i="6" s="1"/>
  <c r="D22" i="4"/>
  <c r="C9" i="3"/>
  <c r="C10" i="3" s="1"/>
  <c r="N6" i="3"/>
  <c r="N12" i="7" s="1"/>
  <c r="C30" i="7" s="1"/>
  <c r="G20" i="6"/>
  <c r="F28" i="6"/>
  <c r="AM9" i="7"/>
  <c r="AM10" i="7" s="1"/>
  <c r="R6" i="7"/>
  <c r="R6" i="2"/>
  <c r="S5" i="2"/>
  <c r="Z6" i="3"/>
  <c r="Z12" i="7" s="1"/>
  <c r="D30" i="7" s="1"/>
  <c r="D9" i="3"/>
  <c r="D10" i="3" s="1"/>
  <c r="AA7" i="7"/>
  <c r="AA10" i="2"/>
  <c r="AB9" i="2"/>
  <c r="F27" i="6"/>
  <c r="F31" i="6" s="1"/>
  <c r="F14" i="7" s="1"/>
  <c r="G19" i="6"/>
  <c r="E25" i="4"/>
  <c r="E31" i="6"/>
  <c r="E14" i="7" s="1"/>
  <c r="Z7" i="5"/>
  <c r="Z7" i="4"/>
  <c r="D23" i="4" s="1"/>
  <c r="Z8" i="4"/>
  <c r="AL5" i="3"/>
  <c r="Z5" i="7"/>
  <c r="Z14" i="2"/>
  <c r="AA13" i="2"/>
  <c r="N9" i="7"/>
  <c r="BB7" i="7"/>
  <c r="BB10" i="2"/>
  <c r="BC9" i="2"/>
  <c r="AX9" i="7"/>
  <c r="AX10" i="7" s="1"/>
  <c r="AZ5" i="7"/>
  <c r="BA13" i="2"/>
  <c r="AZ14" i="2"/>
  <c r="F7" i="7"/>
  <c r="F10" i="2"/>
  <c r="G9" i="2"/>
  <c r="P7" i="7"/>
  <c r="Q9" i="2"/>
  <c r="P10" i="2"/>
  <c r="D5" i="7"/>
  <c r="E13" i="2"/>
  <c r="D14" i="2"/>
  <c r="D19" i="2" s="1"/>
  <c r="AL7" i="4"/>
  <c r="E23" i="4" s="1"/>
  <c r="AL8" i="4"/>
  <c r="AL7" i="5"/>
  <c r="AX5" i="3"/>
  <c r="AO7" i="7"/>
  <c r="AP9" i="2"/>
  <c r="AO10" i="2"/>
  <c r="Q5" i="7"/>
  <c r="Q14" i="2"/>
  <c r="Q19" i="2" s="1"/>
  <c r="R13" i="2"/>
  <c r="BA6" i="7"/>
  <c r="BB5" i="2"/>
  <c r="BA6" i="2"/>
  <c r="AY9" i="7"/>
  <c r="AY10" i="7" s="1"/>
  <c r="AY9" i="4"/>
  <c r="AZ9" i="4" s="1"/>
  <c r="BA9" i="4" s="1"/>
  <c r="BB9" i="4" s="1"/>
  <c r="BC9" i="4" s="1"/>
  <c r="BD9" i="4" s="1"/>
  <c r="BE9" i="4" s="1"/>
  <c r="BF9" i="4" s="1"/>
  <c r="BG9" i="4" s="1"/>
  <c r="BH9" i="4" s="1"/>
  <c r="BI9" i="4" s="1"/>
  <c r="F25" i="4"/>
  <c r="E6" i="7"/>
  <c r="F5" i="2"/>
  <c r="E6" i="2"/>
  <c r="F8" i="5"/>
  <c r="F11" i="7" s="1"/>
  <c r="G5" i="5"/>
  <c r="O9" i="7"/>
  <c r="O10" i="7" s="1"/>
  <c r="H17" i="6"/>
  <c r="G25" i="6"/>
  <c r="O7" i="5"/>
  <c r="P7" i="5" s="1"/>
  <c r="Q7" i="5" s="1"/>
  <c r="R7" i="5" s="1"/>
  <c r="S7" i="5" s="1"/>
  <c r="T7" i="5" s="1"/>
  <c r="U7" i="5" s="1"/>
  <c r="V7" i="5" s="1"/>
  <c r="W7" i="5" s="1"/>
  <c r="X7" i="5" s="1"/>
  <c r="Y7" i="5" s="1"/>
  <c r="H18" i="6"/>
  <c r="G26" i="6"/>
  <c r="G10" i="4"/>
  <c r="G13" i="7" s="1"/>
  <c r="H4" i="4"/>
  <c r="AN5" i="7"/>
  <c r="AN14" i="2"/>
  <c r="AO13" i="2"/>
  <c r="P19" i="2"/>
  <c r="B9" i="7"/>
  <c r="AP6" i="7"/>
  <c r="AP6" i="2"/>
  <c r="AQ5" i="2"/>
  <c r="C9" i="7"/>
  <c r="C10" i="7" s="1"/>
  <c r="C15" i="7" s="1"/>
  <c r="E13" i="5"/>
  <c r="AL9" i="7"/>
  <c r="AL10" i="7" s="1"/>
  <c r="P8" i="7"/>
  <c r="H29" i="6" l="1"/>
  <c r="I21" i="6"/>
  <c r="AO5" i="7"/>
  <c r="AO8" i="7" s="1"/>
  <c r="AO14" i="2"/>
  <c r="AO19" i="2" s="1"/>
  <c r="AP13" i="2"/>
  <c r="I18" i="6"/>
  <c r="H26" i="6"/>
  <c r="G8" i="5"/>
  <c r="G11" i="7" s="1"/>
  <c r="H5" i="5"/>
  <c r="AP7" i="7"/>
  <c r="AQ9" i="2"/>
  <c r="AP10" i="2"/>
  <c r="D8" i="7"/>
  <c r="BA5" i="7"/>
  <c r="BA8" i="7" s="1"/>
  <c r="BB13" i="2"/>
  <c r="BA14" i="2"/>
  <c r="BA19" i="2" s="1"/>
  <c r="AA7" i="5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B7" i="7"/>
  <c r="AB10" i="2"/>
  <c r="AC9" i="2"/>
  <c r="C17" i="7"/>
  <c r="C16" i="7"/>
  <c r="AQ6" i="7"/>
  <c r="AR5" i="2"/>
  <c r="AQ6" i="2"/>
  <c r="AN19" i="2"/>
  <c r="AZ8" i="7"/>
  <c r="AZ19" i="2"/>
  <c r="AN8" i="7"/>
  <c r="C14" i="5"/>
  <c r="BB6" i="7"/>
  <c r="BC5" i="2"/>
  <c r="BB6" i="2"/>
  <c r="F9" i="3"/>
  <c r="F10" i="3" s="1"/>
  <c r="AX6" i="3"/>
  <c r="AX12" i="7" s="1"/>
  <c r="F30" i="7" s="1"/>
  <c r="Q7" i="7"/>
  <c r="R9" i="2"/>
  <c r="Q10" i="2"/>
  <c r="AA5" i="7"/>
  <c r="AA8" i="7" s="1"/>
  <c r="AB13" i="2"/>
  <c r="AA14" i="2"/>
  <c r="AA19" i="2" s="1"/>
  <c r="E5" i="7"/>
  <c r="E8" i="7" s="1"/>
  <c r="F13" i="2"/>
  <c r="E14" i="2"/>
  <c r="E19" i="2" s="1"/>
  <c r="P9" i="7"/>
  <c r="P10" i="7" s="1"/>
  <c r="N10" i="7"/>
  <c r="AM6" i="4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F6" i="7"/>
  <c r="G5" i="2"/>
  <c r="F6" i="2"/>
  <c r="E14" i="5"/>
  <c r="AM7" i="5"/>
  <c r="AN7" i="5" s="1"/>
  <c r="AO7" i="5" s="1"/>
  <c r="AP7" i="5" s="1"/>
  <c r="AQ7" i="5" s="1"/>
  <c r="AR7" i="5" s="1"/>
  <c r="AS7" i="5" s="1"/>
  <c r="AT7" i="5" s="1"/>
  <c r="AU7" i="5" s="1"/>
  <c r="AV7" i="5" s="1"/>
  <c r="AW7" i="5" s="1"/>
  <c r="Z19" i="2"/>
  <c r="AD6" i="7"/>
  <c r="AE5" i="2"/>
  <c r="AD6" i="2"/>
  <c r="H20" i="6"/>
  <c r="G28" i="6"/>
  <c r="AX7" i="5"/>
  <c r="AX8" i="4"/>
  <c r="AX7" i="4"/>
  <c r="F23" i="4" s="1"/>
  <c r="H10" i="4"/>
  <c r="H13" i="7" s="1"/>
  <c r="I4" i="4"/>
  <c r="R5" i="7"/>
  <c r="R14" i="2"/>
  <c r="R19" i="2" s="1"/>
  <c r="S13" i="2"/>
  <c r="E9" i="3"/>
  <c r="E10" i="3" s="1"/>
  <c r="AL6" i="3"/>
  <c r="AL12" i="7" s="1"/>
  <c r="E30" i="7" s="1"/>
  <c r="AM8" i="4"/>
  <c r="AN8" i="4" s="1"/>
  <c r="AO8" i="4" s="1"/>
  <c r="AP8" i="4" s="1"/>
  <c r="AQ8" i="4" s="1"/>
  <c r="AR8" i="4" s="1"/>
  <c r="AS8" i="4" s="1"/>
  <c r="AT8" i="4" s="1"/>
  <c r="AU8" i="4" s="1"/>
  <c r="AV8" i="4" s="1"/>
  <c r="AW8" i="4" s="1"/>
  <c r="G7" i="7"/>
  <c r="H9" i="2"/>
  <c r="G10" i="2"/>
  <c r="BC7" i="7"/>
  <c r="BD9" i="2"/>
  <c r="BC10" i="2"/>
  <c r="Z8" i="7"/>
  <c r="B10" i="7"/>
  <c r="I17" i="6"/>
  <c r="H25" i="6"/>
  <c r="Q8" i="7"/>
  <c r="AA8" i="4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G27" i="6"/>
  <c r="G31" i="6" s="1"/>
  <c r="G14" i="7" s="1"/>
  <c r="H19" i="6"/>
  <c r="S6" i="7"/>
  <c r="T5" i="2"/>
  <c r="S6" i="2"/>
  <c r="C18" i="7" l="1"/>
  <c r="F14" i="5"/>
  <c r="AY7" i="5"/>
  <c r="AZ7" i="5" s="1"/>
  <c r="BA7" i="5" s="1"/>
  <c r="BB7" i="5" s="1"/>
  <c r="BC7" i="5" s="1"/>
  <c r="BD7" i="5" s="1"/>
  <c r="BE7" i="5" s="1"/>
  <c r="BF7" i="5" s="1"/>
  <c r="BG7" i="5" s="1"/>
  <c r="BH7" i="5" s="1"/>
  <c r="BI7" i="5" s="1"/>
  <c r="G6" i="7"/>
  <c r="H5" i="2"/>
  <c r="G6" i="2"/>
  <c r="H8" i="5"/>
  <c r="H11" i="7" s="1"/>
  <c r="I5" i="5"/>
  <c r="T6" i="7"/>
  <c r="T6" i="2"/>
  <c r="U5" i="2"/>
  <c r="AE6" i="7"/>
  <c r="AE6" i="2"/>
  <c r="AF5" i="2"/>
  <c r="F5" i="7"/>
  <c r="F8" i="7" s="1"/>
  <c r="G13" i="2"/>
  <c r="F14" i="2"/>
  <c r="F19" i="2" s="1"/>
  <c r="E22" i="4"/>
  <c r="R7" i="7"/>
  <c r="R10" i="2"/>
  <c r="S9" i="2"/>
  <c r="AZ9" i="7"/>
  <c r="AO9" i="7"/>
  <c r="AO10" i="7" s="1"/>
  <c r="H27" i="6"/>
  <c r="H31" i="6" s="1"/>
  <c r="H14" i="7" s="1"/>
  <c r="I19" i="6"/>
  <c r="J17" i="6"/>
  <c r="I25" i="6"/>
  <c r="S5" i="7"/>
  <c r="T13" i="2"/>
  <c r="S14" i="2"/>
  <c r="S19" i="2" s="1"/>
  <c r="AN9" i="7"/>
  <c r="AN10" i="7" s="1"/>
  <c r="BB5" i="7"/>
  <c r="BB14" i="2"/>
  <c r="BC13" i="2"/>
  <c r="H7" i="7"/>
  <c r="I9" i="2"/>
  <c r="H10" i="2"/>
  <c r="D14" i="5"/>
  <c r="D24" i="4"/>
  <c r="E24" i="4"/>
  <c r="H28" i="6"/>
  <c r="I20" i="6"/>
  <c r="AB5" i="7"/>
  <c r="AC13" i="2"/>
  <c r="AB14" i="2"/>
  <c r="BA9" i="7"/>
  <c r="BA10" i="7" s="1"/>
  <c r="AY6" i="4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F22" i="4"/>
  <c r="E9" i="7"/>
  <c r="E10" i="7" s="1"/>
  <c r="E15" i="7" s="1"/>
  <c r="R8" i="7"/>
  <c r="AA9" i="7"/>
  <c r="AA10" i="7" s="1"/>
  <c r="AC7" i="7"/>
  <c r="AC10" i="2"/>
  <c r="AD9" i="2"/>
  <c r="I26" i="6"/>
  <c r="J18" i="6"/>
  <c r="Q9" i="7"/>
  <c r="Q10" i="7" s="1"/>
  <c r="AQ7" i="7"/>
  <c r="AR9" i="2"/>
  <c r="AQ10" i="2"/>
  <c r="AY8" i="4"/>
  <c r="AZ8" i="4" s="1"/>
  <c r="BA8" i="4" s="1"/>
  <c r="BB8" i="4" s="1"/>
  <c r="BC8" i="4" s="1"/>
  <c r="BD8" i="4" s="1"/>
  <c r="BE8" i="4" s="1"/>
  <c r="BF8" i="4" s="1"/>
  <c r="BG8" i="4" s="1"/>
  <c r="BH8" i="4" s="1"/>
  <c r="BI8" i="4" s="1"/>
  <c r="I29" i="6"/>
  <c r="J21" i="6"/>
  <c r="B15" i="7"/>
  <c r="Z9" i="7"/>
  <c r="BD7" i="7"/>
  <c r="BE9" i="2"/>
  <c r="BD10" i="2"/>
  <c r="I10" i="4"/>
  <c r="I13" i="7" s="1"/>
  <c r="J4" i="4"/>
  <c r="BC6" i="7"/>
  <c r="BC6" i="2"/>
  <c r="BD5" i="2"/>
  <c r="AR6" i="7"/>
  <c r="AR6" i="2"/>
  <c r="AS5" i="2"/>
  <c r="D9" i="7"/>
  <c r="AP5" i="7"/>
  <c r="AP8" i="7" s="1"/>
  <c r="AP14" i="2"/>
  <c r="AP19" i="2" s="1"/>
  <c r="AQ13" i="2"/>
  <c r="E16" i="7" l="1"/>
  <c r="E17" i="7"/>
  <c r="K18" i="6"/>
  <c r="J26" i="6"/>
  <c r="F24" i="4"/>
  <c r="I7" i="7"/>
  <c r="J9" i="2"/>
  <c r="I10" i="2"/>
  <c r="U6" i="7"/>
  <c r="V5" i="2"/>
  <c r="U6" i="2"/>
  <c r="D10" i="7"/>
  <c r="J10" i="4"/>
  <c r="J13" i="7" s="1"/>
  <c r="K4" i="4"/>
  <c r="AR7" i="7"/>
  <c r="AR10" i="2"/>
  <c r="AS9" i="2"/>
  <c r="AD7" i="7"/>
  <c r="AD10" i="2"/>
  <c r="AE9" i="2"/>
  <c r="R9" i="7"/>
  <c r="R10" i="7" s="1"/>
  <c r="BC5" i="7"/>
  <c r="BC8" i="7" s="1"/>
  <c r="BC14" i="2"/>
  <c r="BC19" i="2" s="1"/>
  <c r="BD13" i="2"/>
  <c r="T5" i="7"/>
  <c r="U13" i="2"/>
  <c r="T14" i="2"/>
  <c r="T19" i="2" s="1"/>
  <c r="F9" i="7"/>
  <c r="F10" i="7" s="1"/>
  <c r="F15" i="7" s="1"/>
  <c r="I8" i="5"/>
  <c r="I11" i="7" s="1"/>
  <c r="J5" i="5"/>
  <c r="AS6" i="7"/>
  <c r="AT5" i="2"/>
  <c r="AS6" i="2"/>
  <c r="B17" i="7"/>
  <c r="B16" i="7"/>
  <c r="S8" i="7"/>
  <c r="AZ10" i="7"/>
  <c r="AF6" i="7"/>
  <c r="AF6" i="2"/>
  <c r="AG5" i="2"/>
  <c r="Z10" i="7"/>
  <c r="AB19" i="2"/>
  <c r="BB8" i="7"/>
  <c r="S7" i="7"/>
  <c r="S10" i="2"/>
  <c r="T9" i="2"/>
  <c r="I28" i="6"/>
  <c r="J20" i="6"/>
  <c r="G5" i="7"/>
  <c r="G14" i="2"/>
  <c r="G19" i="2" s="1"/>
  <c r="H13" i="2"/>
  <c r="AQ5" i="7"/>
  <c r="AQ8" i="7" s="1"/>
  <c r="AQ14" i="2"/>
  <c r="AQ19" i="2" s="1"/>
  <c r="AR13" i="2"/>
  <c r="BE7" i="7"/>
  <c r="BF9" i="2"/>
  <c r="BE10" i="2"/>
  <c r="AD13" i="2"/>
  <c r="AC5" i="7"/>
  <c r="AC8" i="7" s="1"/>
  <c r="AC14" i="2"/>
  <c r="AC19" i="2" s="1"/>
  <c r="K17" i="6"/>
  <c r="J25" i="6"/>
  <c r="AP9" i="7"/>
  <c r="AP10" i="7" s="1"/>
  <c r="J29" i="6"/>
  <c r="K21" i="6"/>
  <c r="BD6" i="7"/>
  <c r="BD6" i="2"/>
  <c r="BE5" i="2"/>
  <c r="BB19" i="2"/>
  <c r="AB8" i="7"/>
  <c r="I27" i="6"/>
  <c r="I31" i="6" s="1"/>
  <c r="I14" i="7" s="1"/>
  <c r="J19" i="6"/>
  <c r="H6" i="7"/>
  <c r="H6" i="2"/>
  <c r="I5" i="2"/>
  <c r="E18" i="7" l="1"/>
  <c r="F16" i="7"/>
  <c r="F17" i="7"/>
  <c r="S9" i="7"/>
  <c r="S10" i="7" s="1"/>
  <c r="AE7" i="7"/>
  <c r="AE10" i="2"/>
  <c r="AF9" i="2"/>
  <c r="K29" i="6"/>
  <c r="L21" i="6"/>
  <c r="AQ9" i="7"/>
  <c r="AQ10" i="7" s="1"/>
  <c r="U5" i="7"/>
  <c r="V13" i="2"/>
  <c r="U14" i="2"/>
  <c r="U19" i="2" s="1"/>
  <c r="AR5" i="7"/>
  <c r="AS13" i="2"/>
  <c r="AR14" i="2"/>
  <c r="AR19" i="2" s="1"/>
  <c r="AT6" i="7"/>
  <c r="AU5" i="2"/>
  <c r="AT6" i="2"/>
  <c r="AC9" i="7"/>
  <c r="AC10" i="7" s="1"/>
  <c r="H5" i="7"/>
  <c r="H8" i="7" s="1"/>
  <c r="H14" i="2"/>
  <c r="H19" i="2" s="1"/>
  <c r="I13" i="2"/>
  <c r="T7" i="7"/>
  <c r="T8" i="7" s="1"/>
  <c r="T10" i="2"/>
  <c r="U9" i="2"/>
  <c r="L17" i="6"/>
  <c r="K25" i="6"/>
  <c r="I6" i="7"/>
  <c r="I6" i="2"/>
  <c r="J5" i="2"/>
  <c r="AB9" i="7"/>
  <c r="AD5" i="7"/>
  <c r="AD14" i="2"/>
  <c r="AE13" i="2"/>
  <c r="B18" i="7"/>
  <c r="J8" i="5"/>
  <c r="J11" i="7" s="1"/>
  <c r="K5" i="5"/>
  <c r="BD5" i="7"/>
  <c r="BD14" i="2"/>
  <c r="BD19" i="2" s="1"/>
  <c r="BE13" i="2"/>
  <c r="AS7" i="7"/>
  <c r="AS10" i="2"/>
  <c r="AT9" i="2"/>
  <c r="V6" i="7"/>
  <c r="V6" i="2"/>
  <c r="W5" i="2"/>
  <c r="D15" i="7"/>
  <c r="G8" i="7"/>
  <c r="AG6" i="7"/>
  <c r="AG6" i="2"/>
  <c r="AH5" i="2"/>
  <c r="BF7" i="7"/>
  <c r="BF10" i="2"/>
  <c r="BG9" i="2"/>
  <c r="J28" i="6"/>
  <c r="K20" i="6"/>
  <c r="BC9" i="7"/>
  <c r="BC10" i="7" s="1"/>
  <c r="L18" i="6"/>
  <c r="K26" i="6"/>
  <c r="J27" i="6"/>
  <c r="K19" i="6"/>
  <c r="BB9" i="7"/>
  <c r="BB10" i="7" s="1"/>
  <c r="BE6" i="7"/>
  <c r="BE6" i="2"/>
  <c r="BF5" i="2"/>
  <c r="J31" i="6"/>
  <c r="J14" i="7" s="1"/>
  <c r="K10" i="4"/>
  <c r="K13" i="7" s="1"/>
  <c r="L4" i="4"/>
  <c r="J7" i="7"/>
  <c r="J10" i="2"/>
  <c r="K9" i="2"/>
  <c r="F18" i="7" l="1"/>
  <c r="T9" i="7"/>
  <c r="T10" i="7" s="1"/>
  <c r="BG7" i="7"/>
  <c r="BH9" i="2"/>
  <c r="BG10" i="2"/>
  <c r="W6" i="7"/>
  <c r="W6" i="2"/>
  <c r="X5" i="2"/>
  <c r="BD8" i="7"/>
  <c r="AD8" i="7"/>
  <c r="AU6" i="7"/>
  <c r="AV5" i="2"/>
  <c r="AU6" i="2"/>
  <c r="G9" i="7"/>
  <c r="G10" i="7" s="1"/>
  <c r="L29" i="6"/>
  <c r="M21" i="6"/>
  <c r="K7" i="7"/>
  <c r="L9" i="2"/>
  <c r="K10" i="2"/>
  <c r="BF6" i="7"/>
  <c r="BF6" i="2"/>
  <c r="BG5" i="2"/>
  <c r="K8" i="5"/>
  <c r="K11" i="7" s="1"/>
  <c r="L5" i="5"/>
  <c r="M17" i="6"/>
  <c r="L25" i="6"/>
  <c r="I5" i="7"/>
  <c r="I14" i="2"/>
  <c r="J13" i="2"/>
  <c r="AT7" i="7"/>
  <c r="AT10" i="2"/>
  <c r="AU9" i="2"/>
  <c r="B20" i="7"/>
  <c r="C20" i="7" s="1"/>
  <c r="AB10" i="7"/>
  <c r="AS5" i="7"/>
  <c r="AS8" i="7" s="1"/>
  <c r="AT13" i="2"/>
  <c r="AS14" i="2"/>
  <c r="AS19" i="2" s="1"/>
  <c r="L10" i="4"/>
  <c r="L13" i="7" s="1"/>
  <c r="M4" i="4"/>
  <c r="J6" i="7"/>
  <c r="J6" i="2"/>
  <c r="K5" i="2"/>
  <c r="H9" i="7"/>
  <c r="H10" i="7" s="1"/>
  <c r="H15" i="7" s="1"/>
  <c r="AR8" i="7"/>
  <c r="AF7" i="7"/>
  <c r="AG9" i="2"/>
  <c r="AF10" i="2"/>
  <c r="M18" i="6"/>
  <c r="L26" i="6"/>
  <c r="D17" i="7"/>
  <c r="D16" i="7"/>
  <c r="I19" i="2"/>
  <c r="K27" i="6"/>
  <c r="K31" i="6" s="1"/>
  <c r="K14" i="7" s="1"/>
  <c r="L19" i="6"/>
  <c r="K28" i="6"/>
  <c r="L20" i="6"/>
  <c r="AH6" i="7"/>
  <c r="AH6" i="2"/>
  <c r="AI5" i="2"/>
  <c r="BE5" i="7"/>
  <c r="BE8" i="7" s="1"/>
  <c r="BE14" i="2"/>
  <c r="BE19" i="2" s="1"/>
  <c r="BF13" i="2"/>
  <c r="AE5" i="7"/>
  <c r="AE8" i="7" s="1"/>
  <c r="AF13" i="2"/>
  <c r="AE14" i="2"/>
  <c r="AE19" i="2" s="1"/>
  <c r="V5" i="7"/>
  <c r="V14" i="2"/>
  <c r="V19" i="2" s="1"/>
  <c r="W13" i="2"/>
  <c r="AD19" i="2"/>
  <c r="U7" i="7"/>
  <c r="U10" i="2"/>
  <c r="V9" i="2"/>
  <c r="U8" i="7"/>
  <c r="D18" i="7" l="1"/>
  <c r="G15" i="7"/>
  <c r="K6" i="7"/>
  <c r="K6" i="2"/>
  <c r="L5" i="2"/>
  <c r="W5" i="7"/>
  <c r="W14" i="2"/>
  <c r="W19" i="2" s="1"/>
  <c r="X13" i="2"/>
  <c r="BD9" i="7"/>
  <c r="BD10" i="7" s="1"/>
  <c r="AI6" i="7"/>
  <c r="AI6" i="2"/>
  <c r="AJ5" i="2"/>
  <c r="X6" i="7"/>
  <c r="C24" i="7" s="1"/>
  <c r="X6" i="2"/>
  <c r="C22" i="2"/>
  <c r="M10" i="4"/>
  <c r="M13" i="7" s="1"/>
  <c r="B31" i="7" s="1"/>
  <c r="N4" i="4"/>
  <c r="B21" i="4"/>
  <c r="B26" i="4" s="1"/>
  <c r="AU7" i="7"/>
  <c r="AV9" i="2"/>
  <c r="AU10" i="2"/>
  <c r="M25" i="6"/>
  <c r="N17" i="6"/>
  <c r="L7" i="7"/>
  <c r="L10" i="2"/>
  <c r="M9" i="2"/>
  <c r="AV6" i="7"/>
  <c r="AV6" i="2"/>
  <c r="AW5" i="2"/>
  <c r="N18" i="6"/>
  <c r="M26" i="6"/>
  <c r="I8" i="7"/>
  <c r="D20" i="7"/>
  <c r="E20" i="7" s="1"/>
  <c r="F20" i="7" s="1"/>
  <c r="V7" i="7"/>
  <c r="V8" i="7" s="1"/>
  <c r="V10" i="2"/>
  <c r="W9" i="2"/>
  <c r="L8" i="5"/>
  <c r="L11" i="7" s="1"/>
  <c r="M5" i="5"/>
  <c r="AF5" i="7"/>
  <c r="AF8" i="7" s="1"/>
  <c r="AF14" i="2"/>
  <c r="AF19" i="2" s="1"/>
  <c r="AG13" i="2"/>
  <c r="L28" i="6"/>
  <c r="M20" i="6"/>
  <c r="AR9" i="7"/>
  <c r="AR10" i="7" s="1"/>
  <c r="M29" i="6"/>
  <c r="B37" i="6" s="1"/>
  <c r="N21" i="6"/>
  <c r="U9" i="7"/>
  <c r="U10" i="7" s="1"/>
  <c r="BE9" i="7"/>
  <c r="BE10" i="7" s="1"/>
  <c r="AE9" i="7"/>
  <c r="AE10" i="7" s="1"/>
  <c r="AT5" i="7"/>
  <c r="AT8" i="7" s="1"/>
  <c r="AU13" i="2"/>
  <c r="AT14" i="2"/>
  <c r="AT19" i="2" s="1"/>
  <c r="J5" i="7"/>
  <c r="J8" i="7" s="1"/>
  <c r="J14" i="2"/>
  <c r="J19" i="2" s="1"/>
  <c r="K13" i="2"/>
  <c r="BH7" i="7"/>
  <c r="BH10" i="2"/>
  <c r="BI9" i="2"/>
  <c r="AG7" i="7"/>
  <c r="AH9" i="2"/>
  <c r="AG10" i="2"/>
  <c r="BF5" i="7"/>
  <c r="BF14" i="2"/>
  <c r="BF19" i="2" s="1"/>
  <c r="BG13" i="2"/>
  <c r="L27" i="6"/>
  <c r="L31" i="6" s="1"/>
  <c r="L14" i="7" s="1"/>
  <c r="M19" i="6"/>
  <c r="H16" i="7"/>
  <c r="H17" i="7"/>
  <c r="AS9" i="7"/>
  <c r="AS10" i="7" s="1"/>
  <c r="BG6" i="7"/>
  <c r="BH5" i="2"/>
  <c r="BG6" i="2"/>
  <c r="AD9" i="7"/>
  <c r="AD10" i="7" s="1"/>
  <c r="H18" i="7" l="1"/>
  <c r="V9" i="7"/>
  <c r="V10" i="7" s="1"/>
  <c r="AW6" i="7"/>
  <c r="E24" i="7" s="1"/>
  <c r="AW6" i="2"/>
  <c r="E22" i="2"/>
  <c r="L6" i="7"/>
  <c r="M5" i="2"/>
  <c r="L6" i="2"/>
  <c r="AT9" i="7"/>
  <c r="AT10" i="7" s="1"/>
  <c r="BF8" i="7"/>
  <c r="AG5" i="7"/>
  <c r="AG14" i="2"/>
  <c r="AH13" i="2"/>
  <c r="AV7" i="7"/>
  <c r="AW9" i="2"/>
  <c r="AV10" i="2"/>
  <c r="M28" i="6"/>
  <c r="B36" i="6" s="1"/>
  <c r="N20" i="6"/>
  <c r="B34" i="6"/>
  <c r="K5" i="7"/>
  <c r="K8" i="7" s="1"/>
  <c r="L13" i="2"/>
  <c r="K14" i="2"/>
  <c r="K19" i="2" s="1"/>
  <c r="N29" i="6"/>
  <c r="O21" i="6"/>
  <c r="W7" i="7"/>
  <c r="X9" i="2"/>
  <c r="W10" i="2"/>
  <c r="AH7" i="7"/>
  <c r="AI9" i="2"/>
  <c r="AH10" i="2"/>
  <c r="AF9" i="7"/>
  <c r="AF10" i="7" s="1"/>
  <c r="M7" i="7"/>
  <c r="B25" i="7" s="1"/>
  <c r="M10" i="2"/>
  <c r="B23" i="2" s="1"/>
  <c r="BG5" i="7"/>
  <c r="BG8" i="7" s="1"/>
  <c r="BH13" i="2"/>
  <c r="BG14" i="2"/>
  <c r="BG19" i="2" s="1"/>
  <c r="J9" i="7"/>
  <c r="J10" i="7" s="1"/>
  <c r="J15" i="7" s="1"/>
  <c r="I9" i="7"/>
  <c r="I10" i="7" s="1"/>
  <c r="N10" i="4"/>
  <c r="N13" i="7" s="1"/>
  <c r="O4" i="4"/>
  <c r="X5" i="7"/>
  <c r="X14" i="2"/>
  <c r="X19" i="2" s="1"/>
  <c r="Y13" i="2"/>
  <c r="M27" i="6"/>
  <c r="B35" i="6" s="1"/>
  <c r="N19" i="6"/>
  <c r="M8" i="5"/>
  <c r="M11" i="7" s="1"/>
  <c r="B29" i="7" s="1"/>
  <c r="N5" i="5"/>
  <c r="B12" i="5"/>
  <c r="B15" i="5" s="1"/>
  <c r="G16" i="7"/>
  <c r="G17" i="7"/>
  <c r="BH6" i="7"/>
  <c r="BI5" i="2"/>
  <c r="BH6" i="2"/>
  <c r="BI7" i="7"/>
  <c r="F25" i="7" s="1"/>
  <c r="BI10" i="2"/>
  <c r="F23" i="2" s="1"/>
  <c r="AU5" i="7"/>
  <c r="AU8" i="7" s="1"/>
  <c r="AU14" i="2"/>
  <c r="AU19" i="2" s="1"/>
  <c r="AV13" i="2"/>
  <c r="O18" i="6"/>
  <c r="N26" i="6"/>
  <c r="N25" i="6"/>
  <c r="O17" i="6"/>
  <c r="P17" i="6" s="1"/>
  <c r="O25" i="6"/>
  <c r="AJ6" i="7"/>
  <c r="D24" i="7" s="1"/>
  <c r="AJ6" i="2"/>
  <c r="D22" i="2"/>
  <c r="W8" i="7"/>
  <c r="I15" i="7" l="1"/>
  <c r="P18" i="6"/>
  <c r="O26" i="6"/>
  <c r="O10" i="4"/>
  <c r="O13" i="7" s="1"/>
  <c r="P4" i="4"/>
  <c r="J17" i="7"/>
  <c r="J16" i="7"/>
  <c r="B38" i="6"/>
  <c r="N27" i="6"/>
  <c r="O19" i="6"/>
  <c r="N28" i="6"/>
  <c r="O20" i="6"/>
  <c r="W9" i="7"/>
  <c r="W10" i="7" s="1"/>
  <c r="BI6" i="7"/>
  <c r="F24" i="7" s="1"/>
  <c r="BI6" i="2"/>
  <c r="F22" i="2"/>
  <c r="M31" i="6"/>
  <c r="M14" i="7" s="1"/>
  <c r="B32" i="7" s="1"/>
  <c r="AI7" i="7"/>
  <c r="AI10" i="2"/>
  <c r="AJ9" i="2"/>
  <c r="AH5" i="7"/>
  <c r="AH8" i="7" s="1"/>
  <c r="AH14" i="2"/>
  <c r="AH19" i="2" s="1"/>
  <c r="AI13" i="2"/>
  <c r="AU9" i="7"/>
  <c r="AU10" i="7" s="1"/>
  <c r="AG8" i="7"/>
  <c r="M6" i="7"/>
  <c r="B24" i="7" s="1"/>
  <c r="M6" i="2"/>
  <c r="AV5" i="7"/>
  <c r="AV8" i="7" s="1"/>
  <c r="AV14" i="2"/>
  <c r="AV19" i="2" s="1"/>
  <c r="AW13" i="2"/>
  <c r="BH5" i="7"/>
  <c r="BH8" i="7" s="1"/>
  <c r="BI13" i="2"/>
  <c r="BH14" i="2"/>
  <c r="BH19" i="2" s="1"/>
  <c r="BG9" i="7"/>
  <c r="BG10" i="7" s="1"/>
  <c r="Q17" i="6"/>
  <c r="P25" i="6"/>
  <c r="G18" i="7"/>
  <c r="Y5" i="7"/>
  <c r="Y14" i="2"/>
  <c r="L5" i="7"/>
  <c r="L8" i="7" s="1"/>
  <c r="M13" i="2"/>
  <c r="L14" i="2"/>
  <c r="L19" i="2" s="1"/>
  <c r="O29" i="6"/>
  <c r="P21" i="6"/>
  <c r="N31" i="6"/>
  <c r="N14" i="7" s="1"/>
  <c r="X7" i="7"/>
  <c r="X8" i="7" s="1"/>
  <c r="Y9" i="2"/>
  <c r="X10" i="2"/>
  <c r="K9" i="7"/>
  <c r="K10" i="7" s="1"/>
  <c r="AG19" i="2"/>
  <c r="N8" i="5"/>
  <c r="N11" i="7" s="1"/>
  <c r="O5" i="5"/>
  <c r="AW7" i="7"/>
  <c r="E25" i="7" s="1"/>
  <c r="AW10" i="2"/>
  <c r="E23" i="2" s="1"/>
  <c r="BF9" i="7"/>
  <c r="BF10" i="7" s="1"/>
  <c r="J18" i="7" l="1"/>
  <c r="X9" i="7"/>
  <c r="X10" i="7" s="1"/>
  <c r="K15" i="7"/>
  <c r="O28" i="6"/>
  <c r="P20" i="6"/>
  <c r="Y7" i="7"/>
  <c r="C25" i="7" s="1"/>
  <c r="Y10" i="2"/>
  <c r="C23" i="2" s="1"/>
  <c r="M5" i="7"/>
  <c r="M14" i="2"/>
  <c r="B24" i="2" s="1"/>
  <c r="AW5" i="7"/>
  <c r="AW14" i="2"/>
  <c r="P10" i="4"/>
  <c r="P13" i="7" s="1"/>
  <c r="Q4" i="4"/>
  <c r="Y19" i="2"/>
  <c r="C24" i="2"/>
  <c r="AV9" i="7"/>
  <c r="AV10" i="7" s="1"/>
  <c r="O27" i="6"/>
  <c r="O31" i="6" s="1"/>
  <c r="O14" i="7" s="1"/>
  <c r="P19" i="6"/>
  <c r="Y8" i="7"/>
  <c r="C23" i="7"/>
  <c r="B22" i="2"/>
  <c r="AH9" i="7"/>
  <c r="AH10" i="7" s="1"/>
  <c r="Q18" i="6"/>
  <c r="P26" i="6"/>
  <c r="P29" i="6"/>
  <c r="Q21" i="6"/>
  <c r="G20" i="7"/>
  <c r="H20" i="7" s="1"/>
  <c r="BI5" i="7"/>
  <c r="BI14" i="2"/>
  <c r="F24" i="2" s="1"/>
  <c r="F25" i="2" s="1"/>
  <c r="AJ7" i="7"/>
  <c r="AJ10" i="2"/>
  <c r="AK9" i="2"/>
  <c r="AI5" i="7"/>
  <c r="AI8" i="7" s="1"/>
  <c r="AJ13" i="2"/>
  <c r="AI14" i="2"/>
  <c r="AI19" i="2" s="1"/>
  <c r="P5" i="5"/>
  <c r="O8" i="5"/>
  <c r="O11" i="7" s="1"/>
  <c r="O15" i="7" s="1"/>
  <c r="BH9" i="7"/>
  <c r="BH10" i="7" s="1"/>
  <c r="L9" i="7"/>
  <c r="L10" i="7" s="1"/>
  <c r="L15" i="7" s="1"/>
  <c r="N15" i="7"/>
  <c r="R17" i="6"/>
  <c r="Q25" i="6"/>
  <c r="AG9" i="7"/>
  <c r="AG10" i="7" s="1"/>
  <c r="I17" i="7"/>
  <c r="I16" i="7"/>
  <c r="I18" i="7" l="1"/>
  <c r="I20" i="7" s="1"/>
  <c r="J20" i="7" s="1"/>
  <c r="C25" i="2"/>
  <c r="B25" i="2"/>
  <c r="M19" i="2"/>
  <c r="L17" i="7"/>
  <c r="L16" i="7"/>
  <c r="L18" i="7" s="1"/>
  <c r="BI19" i="2"/>
  <c r="P8" i="5"/>
  <c r="P11" i="7" s="1"/>
  <c r="Q5" i="5"/>
  <c r="BI8" i="7"/>
  <c r="F23" i="7"/>
  <c r="F26" i="7" s="1"/>
  <c r="Q10" i="4"/>
  <c r="Q13" i="7" s="1"/>
  <c r="R4" i="4"/>
  <c r="O16" i="7"/>
  <c r="O17" i="7"/>
  <c r="P28" i="6"/>
  <c r="P31" i="6" s="1"/>
  <c r="P14" i="7" s="1"/>
  <c r="Q20" i="6"/>
  <c r="AI9" i="7"/>
  <c r="AI10" i="7" s="1"/>
  <c r="R21" i="6"/>
  <c r="Q29" i="6"/>
  <c r="E24" i="2"/>
  <c r="E25" i="2" s="1"/>
  <c r="AW19" i="2"/>
  <c r="AK10" i="2"/>
  <c r="D23" i="2" s="1"/>
  <c r="AK7" i="7"/>
  <c r="D25" i="7" s="1"/>
  <c r="AW8" i="7"/>
  <c r="E23" i="7"/>
  <c r="K17" i="7"/>
  <c r="K16" i="7"/>
  <c r="N16" i="7"/>
  <c r="N17" i="7"/>
  <c r="AJ5" i="7"/>
  <c r="AJ8" i="7" s="1"/>
  <c r="AK13" i="2"/>
  <c r="AJ14" i="2"/>
  <c r="AJ19" i="2" s="1"/>
  <c r="Y9" i="7"/>
  <c r="C27" i="7" s="1"/>
  <c r="C26" i="7"/>
  <c r="S17" i="6"/>
  <c r="R25" i="6"/>
  <c r="Q26" i="6"/>
  <c r="R18" i="6"/>
  <c r="P27" i="6"/>
  <c r="Q19" i="6"/>
  <c r="M8" i="7"/>
  <c r="B23" i="7"/>
  <c r="K18" i="7" l="1"/>
  <c r="K20" i="7" s="1"/>
  <c r="L20" i="7" s="1"/>
  <c r="N18" i="7"/>
  <c r="O18" i="7"/>
  <c r="T17" i="6"/>
  <c r="S25" i="6"/>
  <c r="AJ9" i="7"/>
  <c r="AJ10" i="7" s="1"/>
  <c r="BI9" i="7"/>
  <c r="F27" i="7" s="1"/>
  <c r="AW9" i="7"/>
  <c r="E27" i="7" s="1"/>
  <c r="E26" i="7"/>
  <c r="Q8" i="5"/>
  <c r="Q11" i="7" s="1"/>
  <c r="R5" i="5"/>
  <c r="Q27" i="6"/>
  <c r="Q31" i="6" s="1"/>
  <c r="Q14" i="7" s="1"/>
  <c r="R19" i="6"/>
  <c r="R29" i="6"/>
  <c r="S21" i="6"/>
  <c r="R10" i="4"/>
  <c r="R13" i="7" s="1"/>
  <c r="S4" i="4"/>
  <c r="S18" i="6"/>
  <c r="R26" i="6"/>
  <c r="Y10" i="7"/>
  <c r="M9" i="7"/>
  <c r="B27" i="7" s="1"/>
  <c r="B26" i="7"/>
  <c r="Q28" i="6"/>
  <c r="R20" i="6"/>
  <c r="P15" i="7"/>
  <c r="AK5" i="7"/>
  <c r="AK14" i="2"/>
  <c r="AW10" i="7" l="1"/>
  <c r="E28" i="7" s="1"/>
  <c r="P16" i="7"/>
  <c r="P17" i="7"/>
  <c r="T18" i="6"/>
  <c r="S26" i="6"/>
  <c r="R27" i="6"/>
  <c r="R31" i="6" s="1"/>
  <c r="R14" i="7" s="1"/>
  <c r="S19" i="6"/>
  <c r="U17" i="6"/>
  <c r="T25" i="6"/>
  <c r="S20" i="6"/>
  <c r="R28" i="6"/>
  <c r="BI10" i="7"/>
  <c r="S10" i="4"/>
  <c r="S13" i="7" s="1"/>
  <c r="T4" i="4"/>
  <c r="R8" i="5"/>
  <c r="R11" i="7" s="1"/>
  <c r="S5" i="5"/>
  <c r="Q15" i="7"/>
  <c r="AK19" i="2"/>
  <c r="D24" i="2"/>
  <c r="D25" i="2" s="1"/>
  <c r="M10" i="7"/>
  <c r="AK8" i="7"/>
  <c r="D23" i="7"/>
  <c r="C28" i="7"/>
  <c r="S29" i="6"/>
  <c r="T21" i="6"/>
  <c r="P18" i="7" l="1"/>
  <c r="S8" i="5"/>
  <c r="S11" i="7" s="1"/>
  <c r="T5" i="5"/>
  <c r="U25" i="6"/>
  <c r="V17" i="6"/>
  <c r="R15" i="7"/>
  <c r="S27" i="6"/>
  <c r="T19" i="6"/>
  <c r="AK9" i="7"/>
  <c r="D27" i="7" s="1"/>
  <c r="D26" i="7"/>
  <c r="T10" i="4"/>
  <c r="T13" i="7" s="1"/>
  <c r="U4" i="4"/>
  <c r="M15" i="7"/>
  <c r="B28" i="7"/>
  <c r="F28" i="7"/>
  <c r="U18" i="6"/>
  <c r="T26" i="6"/>
  <c r="T29" i="6"/>
  <c r="U21" i="6"/>
  <c r="S28" i="6"/>
  <c r="T20" i="6"/>
  <c r="Q17" i="7"/>
  <c r="Q16" i="7"/>
  <c r="Q18" i="7"/>
  <c r="V21" i="6" l="1"/>
  <c r="U29" i="6"/>
  <c r="M16" i="7"/>
  <c r="B34" i="7" s="1"/>
  <c r="M17" i="7"/>
  <c r="B35" i="7" s="1"/>
  <c r="B33" i="7"/>
  <c r="S31" i="6"/>
  <c r="S14" i="7" s="1"/>
  <c r="R17" i="7"/>
  <c r="R16" i="7"/>
  <c r="R18" i="7" s="1"/>
  <c r="V25" i="6"/>
  <c r="W17" i="6"/>
  <c r="U10" i="4"/>
  <c r="U13" i="7" s="1"/>
  <c r="V4" i="4"/>
  <c r="V18" i="6"/>
  <c r="U26" i="6"/>
  <c r="T28" i="6"/>
  <c r="U20" i="6"/>
  <c r="AK10" i="7"/>
  <c r="T8" i="5"/>
  <c r="T11" i="7" s="1"/>
  <c r="U5" i="5"/>
  <c r="T27" i="6"/>
  <c r="U19" i="6"/>
  <c r="S15" i="7"/>
  <c r="D28" i="7" l="1"/>
  <c r="U28" i="6"/>
  <c r="V20" i="6"/>
  <c r="X17" i="6"/>
  <c r="W25" i="6"/>
  <c r="S17" i="7"/>
  <c r="S16" i="7"/>
  <c r="S18" i="7" s="1"/>
  <c r="M18" i="7"/>
  <c r="U27" i="6"/>
  <c r="U31" i="6" s="1"/>
  <c r="U14" i="7" s="1"/>
  <c r="V19" i="6"/>
  <c r="V29" i="6"/>
  <c r="W21" i="6"/>
  <c r="U8" i="5"/>
  <c r="U11" i="7" s="1"/>
  <c r="V5" i="5"/>
  <c r="W18" i="6"/>
  <c r="V26" i="6"/>
  <c r="T31" i="6"/>
  <c r="T14" i="7" s="1"/>
  <c r="T15" i="7"/>
  <c r="V10" i="4"/>
  <c r="V13" i="7" s="1"/>
  <c r="W4" i="4"/>
  <c r="B36" i="7" l="1"/>
  <c r="M20" i="7"/>
  <c r="N20" i="7" s="1"/>
  <c r="O20" i="7" s="1"/>
  <c r="P20" i="7" s="1"/>
  <c r="Q20" i="7" s="1"/>
  <c r="R20" i="7" s="1"/>
  <c r="S20" i="7" s="1"/>
  <c r="Y17" i="6"/>
  <c r="X25" i="6"/>
  <c r="V8" i="5"/>
  <c r="V11" i="7" s="1"/>
  <c r="V15" i="7" s="1"/>
  <c r="W5" i="5"/>
  <c r="W20" i="6"/>
  <c r="V28" i="6"/>
  <c r="U15" i="7"/>
  <c r="V27" i="6"/>
  <c r="V31" i="6" s="1"/>
  <c r="V14" i="7" s="1"/>
  <c r="W19" i="6"/>
  <c r="W10" i="4"/>
  <c r="W13" i="7" s="1"/>
  <c r="X4" i="4"/>
  <c r="W29" i="6"/>
  <c r="X21" i="6"/>
  <c r="T17" i="7"/>
  <c r="T16" i="7"/>
  <c r="X18" i="6"/>
  <c r="W26" i="6"/>
  <c r="T18" i="7" l="1"/>
  <c r="V16" i="7"/>
  <c r="V17" i="7"/>
  <c r="Y18" i="6"/>
  <c r="X26" i="6"/>
  <c r="W27" i="6"/>
  <c r="X19" i="6"/>
  <c r="Z17" i="6"/>
  <c r="Y25" i="6"/>
  <c r="X5" i="5"/>
  <c r="W8" i="5"/>
  <c r="W11" i="7" s="1"/>
  <c r="T20" i="7"/>
  <c r="U16" i="7"/>
  <c r="U17" i="7"/>
  <c r="X10" i="4"/>
  <c r="X13" i="7" s="1"/>
  <c r="Y4" i="4"/>
  <c r="X29" i="6"/>
  <c r="Y21" i="6"/>
  <c r="W28" i="6"/>
  <c r="W31" i="6" s="1"/>
  <c r="W14" i="7" s="1"/>
  <c r="X20" i="6"/>
  <c r="V18" i="7" l="1"/>
  <c r="U18" i="7"/>
  <c r="U20" i="7" s="1"/>
  <c r="V20" i="7" s="1"/>
  <c r="Z21" i="6"/>
  <c r="Y29" i="6"/>
  <c r="C37" i="6" s="1"/>
  <c r="Y26" i="6"/>
  <c r="Z18" i="6"/>
  <c r="Y10" i="4"/>
  <c r="Y13" i="7" s="1"/>
  <c r="C31" i="7" s="1"/>
  <c r="Z4" i="4"/>
  <c r="C21" i="4"/>
  <c r="C26" i="4" s="1"/>
  <c r="W15" i="7"/>
  <c r="X8" i="5"/>
  <c r="X11" i="7" s="1"/>
  <c r="Y5" i="5"/>
  <c r="C34" i="6"/>
  <c r="AA17" i="6"/>
  <c r="Z25" i="6"/>
  <c r="X28" i="6"/>
  <c r="X31" i="6" s="1"/>
  <c r="X14" i="7" s="1"/>
  <c r="Y20" i="6"/>
  <c r="X27" i="6"/>
  <c r="Y19" i="6"/>
  <c r="AA4" i="4" l="1"/>
  <c r="Z10" i="4"/>
  <c r="Z13" i="7" s="1"/>
  <c r="AA18" i="6"/>
  <c r="Z26" i="6"/>
  <c r="AB17" i="6"/>
  <c r="AA25" i="6"/>
  <c r="Y27" i="6"/>
  <c r="Z19" i="6"/>
  <c r="Y8" i="5"/>
  <c r="Y11" i="7" s="1"/>
  <c r="Z5" i="5"/>
  <c r="C12" i="5"/>
  <c r="C15" i="5" s="1"/>
  <c r="X15" i="7"/>
  <c r="Z29" i="6"/>
  <c r="AA21" i="6"/>
  <c r="Y28" i="6"/>
  <c r="C36" i="6" s="1"/>
  <c r="Z20" i="6"/>
  <c r="W16" i="7"/>
  <c r="W17" i="7"/>
  <c r="W18" i="7" l="1"/>
  <c r="W20" i="7" s="1"/>
  <c r="AB18" i="6"/>
  <c r="AA26" i="6"/>
  <c r="Z28" i="6"/>
  <c r="AA20" i="6"/>
  <c r="Z27" i="6"/>
  <c r="AA19" i="6"/>
  <c r="AA10" i="4"/>
  <c r="AA13" i="7" s="1"/>
  <c r="AB4" i="4"/>
  <c r="C35" i="6"/>
  <c r="C38" i="6" s="1"/>
  <c r="Y31" i="6"/>
  <c r="Y14" i="7" s="1"/>
  <c r="C32" i="7" s="1"/>
  <c r="Z8" i="5"/>
  <c r="Z11" i="7" s="1"/>
  <c r="AA5" i="5"/>
  <c r="AC17" i="6"/>
  <c r="AB25" i="6"/>
  <c r="C29" i="7"/>
  <c r="Y15" i="7"/>
  <c r="AA29" i="6"/>
  <c r="AB21" i="6"/>
  <c r="X16" i="7"/>
  <c r="X17" i="7"/>
  <c r="X18" i="7" l="1"/>
  <c r="X20" i="7" s="1"/>
  <c r="AA27" i="6"/>
  <c r="AB19" i="6"/>
  <c r="Y17" i="7"/>
  <c r="C35" i="7" s="1"/>
  <c r="Y16" i="7"/>
  <c r="C34" i="7" s="1"/>
  <c r="Y18" i="7"/>
  <c r="C36" i="7" s="1"/>
  <c r="C33" i="7"/>
  <c r="AA8" i="5"/>
  <c r="AA11" i="7" s="1"/>
  <c r="AB5" i="5"/>
  <c r="Z31" i="6"/>
  <c r="Z14" i="7" s="1"/>
  <c r="Z15" i="7"/>
  <c r="AA28" i="6"/>
  <c r="AA31" i="6" s="1"/>
  <c r="AA14" i="7" s="1"/>
  <c r="AB20" i="6"/>
  <c r="AC25" i="6"/>
  <c r="AD17" i="6"/>
  <c r="AB10" i="4"/>
  <c r="AB13" i="7" s="1"/>
  <c r="AC4" i="4"/>
  <c r="AC18" i="6"/>
  <c r="AB26" i="6"/>
  <c r="AB29" i="6"/>
  <c r="AC21" i="6"/>
  <c r="AB31" i="6" l="1"/>
  <c r="AB14" i="7" s="1"/>
  <c r="AD18" i="6"/>
  <c r="AC26" i="6"/>
  <c r="Z17" i="7"/>
  <c r="Z16" i="7"/>
  <c r="Z18" i="7" s="1"/>
  <c r="AD25" i="6"/>
  <c r="AE17" i="6"/>
  <c r="AB27" i="6"/>
  <c r="AC19" i="6"/>
  <c r="AD21" i="6"/>
  <c r="AC29" i="6"/>
  <c r="AB8" i="5"/>
  <c r="AB11" i="7" s="1"/>
  <c r="AC5" i="5"/>
  <c r="Y20" i="7"/>
  <c r="AC10" i="4"/>
  <c r="AC13" i="7" s="1"/>
  <c r="AD4" i="4"/>
  <c r="AA15" i="7"/>
  <c r="AB28" i="6"/>
  <c r="AC20" i="6"/>
  <c r="AD10" i="4" l="1"/>
  <c r="AD13" i="7" s="1"/>
  <c r="AE4" i="4"/>
  <c r="AC27" i="6"/>
  <c r="AD19" i="6"/>
  <c r="Z20" i="7"/>
  <c r="AE18" i="6"/>
  <c r="AD26" i="6"/>
  <c r="AA17" i="7"/>
  <c r="AA16" i="7"/>
  <c r="AD29" i="6"/>
  <c r="AE21" i="6"/>
  <c r="AC28" i="6"/>
  <c r="AD20" i="6"/>
  <c r="AC8" i="5"/>
  <c r="AC11" i="7" s="1"/>
  <c r="AD5" i="5"/>
  <c r="AF17" i="6"/>
  <c r="AE25" i="6"/>
  <c r="AB15" i="7"/>
  <c r="AG17" i="6" l="1"/>
  <c r="AF25" i="6"/>
  <c r="AD27" i="6"/>
  <c r="AE19" i="6"/>
  <c r="AE29" i="6"/>
  <c r="AF21" i="6"/>
  <c r="AA18" i="7"/>
  <c r="AA20" i="7" s="1"/>
  <c r="AC31" i="6"/>
  <c r="AC14" i="7" s="1"/>
  <c r="AD8" i="5"/>
  <c r="AD11" i="7" s="1"/>
  <c r="AE5" i="5"/>
  <c r="AE10" i="4"/>
  <c r="AE13" i="7" s="1"/>
  <c r="AF4" i="4"/>
  <c r="AB17" i="7"/>
  <c r="AB16" i="7"/>
  <c r="AC15" i="7"/>
  <c r="AE20" i="6"/>
  <c r="AD28" i="6"/>
  <c r="AD31" i="6" s="1"/>
  <c r="AD14" i="7" s="1"/>
  <c r="AF18" i="6"/>
  <c r="AE26" i="6"/>
  <c r="AF10" i="4" l="1"/>
  <c r="AF13" i="7" s="1"/>
  <c r="AG4" i="4"/>
  <c r="AC16" i="7"/>
  <c r="AC17" i="7"/>
  <c r="AH17" i="6"/>
  <c r="AG25" i="6"/>
  <c r="AG18" i="6"/>
  <c r="AF26" i="6"/>
  <c r="AE27" i="6"/>
  <c r="AE31" i="6" s="1"/>
  <c r="AE14" i="7" s="1"/>
  <c r="AF19" i="6"/>
  <c r="AE28" i="6"/>
  <c r="AF20" i="6"/>
  <c r="AF5" i="5"/>
  <c r="AE8" i="5"/>
  <c r="AE11" i="7" s="1"/>
  <c r="AD15" i="7"/>
  <c r="AB20" i="7"/>
  <c r="AB18" i="7"/>
  <c r="AF29" i="6"/>
  <c r="AG21" i="6"/>
  <c r="AF27" i="6" l="1"/>
  <c r="AG19" i="6"/>
  <c r="AG29" i="6"/>
  <c r="AH21" i="6"/>
  <c r="AC18" i="7"/>
  <c r="AE15" i="7"/>
  <c r="AG26" i="6"/>
  <c r="AH18" i="6"/>
  <c r="AG10" i="4"/>
  <c r="AG13" i="7" s="1"/>
  <c r="AH4" i="4"/>
  <c r="AF28" i="6"/>
  <c r="AF31" i="6" s="1"/>
  <c r="AF14" i="7" s="1"/>
  <c r="AG20" i="6"/>
  <c r="AD16" i="7"/>
  <c r="AD17" i="7"/>
  <c r="AF8" i="5"/>
  <c r="AF11" i="7" s="1"/>
  <c r="AG5" i="5"/>
  <c r="AI17" i="6"/>
  <c r="AH25" i="6"/>
  <c r="AD18" i="7" l="1"/>
  <c r="AG28" i="6"/>
  <c r="AH20" i="6"/>
  <c r="AH29" i="6"/>
  <c r="AI21" i="6"/>
  <c r="AC20" i="7"/>
  <c r="AD20" i="7" s="1"/>
  <c r="AG8" i="5"/>
  <c r="AG11" i="7" s="1"/>
  <c r="AG15" i="7" s="1"/>
  <c r="AH5" i="5"/>
  <c r="AG27" i="6"/>
  <c r="AG31" i="6" s="1"/>
  <c r="AG14" i="7" s="1"/>
  <c r="AH19" i="6"/>
  <c r="AF15" i="7"/>
  <c r="AI18" i="6"/>
  <c r="AH26" i="6"/>
  <c r="AJ17" i="6"/>
  <c r="AI25" i="6"/>
  <c r="AI4" i="4"/>
  <c r="AH10" i="4"/>
  <c r="AH13" i="7" s="1"/>
  <c r="AE16" i="7"/>
  <c r="AE17" i="7"/>
  <c r="AE18" i="7" l="1"/>
  <c r="AE20" i="7" s="1"/>
  <c r="AJ18" i="6"/>
  <c r="AI26" i="6"/>
  <c r="AF16" i="7"/>
  <c r="AF17" i="7"/>
  <c r="AH28" i="6"/>
  <c r="AH31" i="6" s="1"/>
  <c r="AH14" i="7" s="1"/>
  <c r="AI20" i="6"/>
  <c r="AK17" i="6"/>
  <c r="AJ25" i="6"/>
  <c r="AH27" i="6"/>
  <c r="AI19" i="6"/>
  <c r="AG17" i="7"/>
  <c r="AG16" i="7"/>
  <c r="AG18" i="7" s="1"/>
  <c r="AI10" i="4"/>
  <c r="AI13" i="7" s="1"/>
  <c r="AJ4" i="4"/>
  <c r="AI29" i="6"/>
  <c r="AJ21" i="6"/>
  <c r="AH8" i="5"/>
  <c r="AH11" i="7" s="1"/>
  <c r="AI5" i="5"/>
  <c r="AF18" i="7" l="1"/>
  <c r="AJ29" i="6"/>
  <c r="AK21" i="6"/>
  <c r="AI27" i="6"/>
  <c r="AJ19" i="6"/>
  <c r="AJ10" i="4"/>
  <c r="AJ13" i="7" s="1"/>
  <c r="AK4" i="4"/>
  <c r="AK18" i="6"/>
  <c r="AJ26" i="6"/>
  <c r="AI8" i="5"/>
  <c r="AI11" i="7" s="1"/>
  <c r="AJ5" i="5"/>
  <c r="AK25" i="6"/>
  <c r="AL17" i="6"/>
  <c r="AF20" i="7"/>
  <c r="AG20" i="7" s="1"/>
  <c r="AH15" i="7"/>
  <c r="AI28" i="6"/>
  <c r="AJ20" i="6"/>
  <c r="AH17" i="7" l="1"/>
  <c r="AH16" i="7"/>
  <c r="AH18" i="7" s="1"/>
  <c r="AH20" i="7" s="1"/>
  <c r="AL18" i="6"/>
  <c r="AK26" i="6"/>
  <c r="AK10" i="4"/>
  <c r="AK13" i="7" s="1"/>
  <c r="D31" i="7" s="1"/>
  <c r="AL4" i="4"/>
  <c r="D21" i="4"/>
  <c r="D26" i="4" s="1"/>
  <c r="AL25" i="6"/>
  <c r="AM17" i="6"/>
  <c r="D34" i="6"/>
  <c r="AJ27" i="6"/>
  <c r="AJ31" i="6" s="1"/>
  <c r="AJ14" i="7" s="1"/>
  <c r="AK19" i="6"/>
  <c r="AI31" i="6"/>
  <c r="AI14" i="7" s="1"/>
  <c r="AI15" i="7" s="1"/>
  <c r="AL21" i="6"/>
  <c r="AK29" i="6"/>
  <c r="D37" i="6" s="1"/>
  <c r="AJ8" i="5"/>
  <c r="AJ11" i="7" s="1"/>
  <c r="AK5" i="5"/>
  <c r="AJ28" i="6"/>
  <c r="AK20" i="6"/>
  <c r="AI17" i="7" l="1"/>
  <c r="AI16" i="7"/>
  <c r="AI18" i="7" s="1"/>
  <c r="AI20" i="7" s="1"/>
  <c r="AK27" i="6"/>
  <c r="D35" i="6" s="1"/>
  <c r="AL19" i="6"/>
  <c r="D38" i="6"/>
  <c r="AM18" i="6"/>
  <c r="AL26" i="6"/>
  <c r="AK28" i="6"/>
  <c r="D36" i="6" s="1"/>
  <c r="AL20" i="6"/>
  <c r="AK8" i="5"/>
  <c r="AK11" i="7" s="1"/>
  <c r="AL5" i="5"/>
  <c r="D12" i="5"/>
  <c r="D15" i="5" s="1"/>
  <c r="AJ15" i="7"/>
  <c r="AN17" i="6"/>
  <c r="AM25" i="6"/>
  <c r="AL10" i="4"/>
  <c r="AL13" i="7" s="1"/>
  <c r="AM4" i="4"/>
  <c r="AL29" i="6"/>
  <c r="AM21" i="6"/>
  <c r="AL8" i="5" l="1"/>
  <c r="AL11" i="7" s="1"/>
  <c r="AM5" i="5"/>
  <c r="AK15" i="7"/>
  <c r="D29" i="7"/>
  <c r="AK31" i="6"/>
  <c r="AK14" i="7" s="1"/>
  <c r="D32" i="7" s="1"/>
  <c r="AM10" i="4"/>
  <c r="AM13" i="7" s="1"/>
  <c r="AN4" i="4"/>
  <c r="AJ17" i="7"/>
  <c r="AJ16" i="7"/>
  <c r="AL27" i="6"/>
  <c r="AM19" i="6"/>
  <c r="AL28" i="6"/>
  <c r="AM20" i="6"/>
  <c r="AM29" i="6"/>
  <c r="AN21" i="6"/>
  <c r="AO17" i="6"/>
  <c r="AN25" i="6"/>
  <c r="AN18" i="6"/>
  <c r="AM26" i="6"/>
  <c r="AJ18" i="7" l="1"/>
  <c r="AJ20" i="7" s="1"/>
  <c r="AN29" i="6"/>
  <c r="AO21" i="6"/>
  <c r="AP17" i="6"/>
  <c r="AO25" i="6"/>
  <c r="AN5" i="5"/>
  <c r="AM8" i="5"/>
  <c r="AM11" i="7" s="1"/>
  <c r="AK18" i="7"/>
  <c r="D36" i="7" s="1"/>
  <c r="AK16" i="7"/>
  <c r="D34" i="7" s="1"/>
  <c r="AK17" i="7"/>
  <c r="D35" i="7" s="1"/>
  <c r="D33" i="7"/>
  <c r="AM28" i="6"/>
  <c r="AN20" i="6"/>
  <c r="AM27" i="6"/>
  <c r="AM31" i="6" s="1"/>
  <c r="AM14" i="7" s="1"/>
  <c r="AN19" i="6"/>
  <c r="AN10" i="4"/>
  <c r="AN13" i="7" s="1"/>
  <c r="AO4" i="4"/>
  <c r="AO18" i="6"/>
  <c r="AN26" i="6"/>
  <c r="AL31" i="6"/>
  <c r="AL14" i="7" s="1"/>
  <c r="AL15" i="7" s="1"/>
  <c r="AL16" i="7" l="1"/>
  <c r="AL17" i="7"/>
  <c r="AO29" i="6"/>
  <c r="AP21" i="6"/>
  <c r="AN28" i="6"/>
  <c r="AN31" i="6" s="1"/>
  <c r="AN14" i="7" s="1"/>
  <c r="AO20" i="6"/>
  <c r="AN27" i="6"/>
  <c r="AO19" i="6"/>
  <c r="AK20" i="7"/>
  <c r="AO26" i="6"/>
  <c r="AP18" i="6"/>
  <c r="AM15" i="7"/>
  <c r="AQ17" i="6"/>
  <c r="AP25" i="6"/>
  <c r="AO10" i="4"/>
  <c r="AO13" i="7" s="1"/>
  <c r="AP4" i="4"/>
  <c r="AN8" i="5"/>
  <c r="AN11" i="7" s="1"/>
  <c r="AO5" i="5"/>
  <c r="AO27" i="6" l="1"/>
  <c r="AP19" i="6"/>
  <c r="AM16" i="7"/>
  <c r="AM17" i="7"/>
  <c r="AQ18" i="6"/>
  <c r="AP26" i="6"/>
  <c r="AO8" i="5"/>
  <c r="AO11" i="7" s="1"/>
  <c r="AP5" i="5"/>
  <c r="AO28" i="6"/>
  <c r="AO31" i="6" s="1"/>
  <c r="AO14" i="7" s="1"/>
  <c r="AP20" i="6"/>
  <c r="AL18" i="7"/>
  <c r="AR17" i="6"/>
  <c r="AQ25" i="6"/>
  <c r="AN15" i="7"/>
  <c r="AQ4" i="4"/>
  <c r="AP10" i="4"/>
  <c r="AP13" i="7" s="1"/>
  <c r="AP29" i="6"/>
  <c r="AQ21" i="6"/>
  <c r="AM18" i="7" l="1"/>
  <c r="AQ10" i="4"/>
  <c r="AQ13" i="7" s="1"/>
  <c r="AR4" i="4"/>
  <c r="AN16" i="7"/>
  <c r="AN17" i="7"/>
  <c r="AP28" i="6"/>
  <c r="AQ20" i="6"/>
  <c r="AQ29" i="6"/>
  <c r="AR21" i="6"/>
  <c r="AP27" i="6"/>
  <c r="AQ19" i="6"/>
  <c r="AR18" i="6"/>
  <c r="AQ26" i="6"/>
  <c r="AS17" i="6"/>
  <c r="AR25" i="6"/>
  <c r="AP8" i="5"/>
  <c r="AP11" i="7" s="1"/>
  <c r="AQ5" i="5"/>
  <c r="AO15" i="7"/>
  <c r="AL20" i="7"/>
  <c r="AM20" i="7" s="1"/>
  <c r="AP31" i="6" l="1"/>
  <c r="AP14" i="7" s="1"/>
  <c r="AP15" i="7" s="1"/>
  <c r="AN18" i="7"/>
  <c r="AN20" i="7" s="1"/>
  <c r="AQ27" i="6"/>
  <c r="AR19" i="6"/>
  <c r="AQ8" i="5"/>
  <c r="AQ11" i="7" s="1"/>
  <c r="AR5" i="5"/>
  <c r="AR10" i="4"/>
  <c r="AR13" i="7" s="1"/>
  <c r="AS4" i="4"/>
  <c r="AR29" i="6"/>
  <c r="AS21" i="6"/>
  <c r="AO17" i="7"/>
  <c r="AO16" i="7"/>
  <c r="AS18" i="6"/>
  <c r="AR26" i="6"/>
  <c r="AS25" i="6"/>
  <c r="AT17" i="6"/>
  <c r="AQ28" i="6"/>
  <c r="AQ31" i="6" s="1"/>
  <c r="AQ14" i="7" s="1"/>
  <c r="AR20" i="6"/>
  <c r="AP17" i="7" l="1"/>
  <c r="AP16" i="7"/>
  <c r="AP18" i="7" s="1"/>
  <c r="AR27" i="6"/>
  <c r="AS19" i="6"/>
  <c r="AR28" i="6"/>
  <c r="AR31" i="6" s="1"/>
  <c r="AR14" i="7" s="1"/>
  <c r="AS20" i="6"/>
  <c r="AO18" i="7"/>
  <c r="AO20" i="7" s="1"/>
  <c r="AT18" i="6"/>
  <c r="AS26" i="6"/>
  <c r="AT25" i="6"/>
  <c r="AU17" i="6"/>
  <c r="AS10" i="4"/>
  <c r="AS13" i="7" s="1"/>
  <c r="AT4" i="4"/>
  <c r="AQ15" i="7"/>
  <c r="AS29" i="6"/>
  <c r="AT21" i="6"/>
  <c r="AR8" i="5"/>
  <c r="AR11" i="7" s="1"/>
  <c r="AS5" i="5"/>
  <c r="AQ17" i="7" l="1"/>
  <c r="AQ16" i="7"/>
  <c r="AQ18" i="7" s="1"/>
  <c r="AT10" i="4"/>
  <c r="AT13" i="7" s="1"/>
  <c r="AU4" i="4"/>
  <c r="AS28" i="6"/>
  <c r="AS31" i="6" s="1"/>
  <c r="AS14" i="7" s="1"/>
  <c r="AT20" i="6"/>
  <c r="AT29" i="6"/>
  <c r="AU21" i="6"/>
  <c r="AS8" i="5"/>
  <c r="AS11" i="7" s="1"/>
  <c r="AT5" i="5"/>
  <c r="AU18" i="6"/>
  <c r="AT26" i="6"/>
  <c r="AR15" i="7"/>
  <c r="AV17" i="6"/>
  <c r="AU25" i="6"/>
  <c r="AT19" i="6"/>
  <c r="AS27" i="6"/>
  <c r="AP20" i="7"/>
  <c r="AT28" i="6" l="1"/>
  <c r="AU20" i="6"/>
  <c r="AR17" i="7"/>
  <c r="AR16" i="7"/>
  <c r="AW17" i="6"/>
  <c r="AV25" i="6"/>
  <c r="AV18" i="6"/>
  <c r="AU26" i="6"/>
  <c r="AT8" i="5"/>
  <c r="AT11" i="7" s="1"/>
  <c r="AU5" i="5"/>
  <c r="AS15" i="7"/>
  <c r="AU10" i="4"/>
  <c r="AU13" i="7" s="1"/>
  <c r="AV4" i="4"/>
  <c r="AT27" i="6"/>
  <c r="AT31" i="6" s="1"/>
  <c r="AT14" i="7" s="1"/>
  <c r="AU19" i="6"/>
  <c r="AU29" i="6"/>
  <c r="AV21" i="6"/>
  <c r="AQ20" i="7"/>
  <c r="AR18" i="7" l="1"/>
  <c r="AU8" i="5"/>
  <c r="AU11" i="7" s="1"/>
  <c r="AV5" i="5"/>
  <c r="AU27" i="6"/>
  <c r="AV19" i="6"/>
  <c r="AU28" i="6"/>
  <c r="AV20" i="6"/>
  <c r="AT15" i="7"/>
  <c r="AW18" i="6"/>
  <c r="AV26" i="6"/>
  <c r="AS16" i="7"/>
  <c r="AS17" i="7"/>
  <c r="AV10" i="4"/>
  <c r="AV13" i="7" s="1"/>
  <c r="AW4" i="4"/>
  <c r="AR20" i="7"/>
  <c r="AV29" i="6"/>
  <c r="AW21" i="6"/>
  <c r="AX17" i="6"/>
  <c r="AW25" i="6"/>
  <c r="AS18" i="7" l="1"/>
  <c r="AV27" i="6"/>
  <c r="AW19" i="6"/>
  <c r="AT16" i="7"/>
  <c r="AT17" i="7"/>
  <c r="AU31" i="6"/>
  <c r="AU14" i="7" s="1"/>
  <c r="AS20" i="7"/>
  <c r="AV28" i="6"/>
  <c r="AW20" i="6"/>
  <c r="AX21" i="6"/>
  <c r="AW29" i="6"/>
  <c r="E37" i="6" s="1"/>
  <c r="AV8" i="5"/>
  <c r="AV11" i="7" s="1"/>
  <c r="AW5" i="5"/>
  <c r="AW26" i="6"/>
  <c r="AX18" i="6"/>
  <c r="AW10" i="4"/>
  <c r="AW13" i="7" s="1"/>
  <c r="E31" i="7" s="1"/>
  <c r="AX4" i="4"/>
  <c r="E21" i="4"/>
  <c r="E26" i="4" s="1"/>
  <c r="E34" i="6"/>
  <c r="AY17" i="6"/>
  <c r="AX25" i="6"/>
  <c r="AU15" i="7"/>
  <c r="AT18" i="7" l="1"/>
  <c r="AT20" i="7"/>
  <c r="AZ17" i="6"/>
  <c r="AY25" i="6"/>
  <c r="AW8" i="5"/>
  <c r="AW11" i="7" s="1"/>
  <c r="AX5" i="5"/>
  <c r="E12" i="5"/>
  <c r="E15" i="5" s="1"/>
  <c r="AU16" i="7"/>
  <c r="AU18" i="7" s="1"/>
  <c r="AU17" i="7"/>
  <c r="AY18" i="6"/>
  <c r="AX26" i="6"/>
  <c r="AX29" i="6"/>
  <c r="AY21" i="6"/>
  <c r="AW27" i="6"/>
  <c r="E35" i="6" s="1"/>
  <c r="AX19" i="6"/>
  <c r="AV15" i="7"/>
  <c r="AY4" i="4"/>
  <c r="AX10" i="4"/>
  <c r="AX13" i="7" s="1"/>
  <c r="AW28" i="6"/>
  <c r="E36" i="6" s="1"/>
  <c r="E38" i="6" s="1"/>
  <c r="AX20" i="6"/>
  <c r="AV31" i="6"/>
  <c r="AV14" i="7" s="1"/>
  <c r="E29" i="7" l="1"/>
  <c r="BA17" i="6"/>
  <c r="AZ25" i="6"/>
  <c r="AX8" i="5"/>
  <c r="AX11" i="7" s="1"/>
  <c r="AY5" i="5"/>
  <c r="AV16" i="7"/>
  <c r="AV17" i="7"/>
  <c r="AX27" i="6"/>
  <c r="AY19" i="6"/>
  <c r="AZ18" i="6"/>
  <c r="AY26" i="6"/>
  <c r="AU20" i="7"/>
  <c r="AY10" i="4"/>
  <c r="AY13" i="7" s="1"/>
  <c r="AZ4" i="4"/>
  <c r="AY20" i="6"/>
  <c r="AX28" i="6"/>
  <c r="AY29" i="6"/>
  <c r="AZ21" i="6"/>
  <c r="AW31" i="6"/>
  <c r="AW14" i="7" s="1"/>
  <c r="E32" i="7" s="1"/>
  <c r="AV18" i="7" l="1"/>
  <c r="AV20" i="7" s="1"/>
  <c r="AZ10" i="4"/>
  <c r="AZ13" i="7" s="1"/>
  <c r="BA4" i="4"/>
  <c r="AY27" i="6"/>
  <c r="AZ19" i="6"/>
  <c r="BA25" i="6"/>
  <c r="BB17" i="6"/>
  <c r="AW15" i="7"/>
  <c r="AZ29" i="6"/>
  <c r="BA21" i="6"/>
  <c r="AY28" i="6"/>
  <c r="AY31" i="6" s="1"/>
  <c r="AY14" i="7" s="1"/>
  <c r="AZ20" i="6"/>
  <c r="BA18" i="6"/>
  <c r="AZ26" i="6"/>
  <c r="AY8" i="5"/>
  <c r="AY11" i="7" s="1"/>
  <c r="AZ5" i="5"/>
  <c r="AX31" i="6"/>
  <c r="AX14" i="7" s="1"/>
  <c r="BB21" i="6" l="1"/>
  <c r="BA29" i="6"/>
  <c r="BA10" i="4"/>
  <c r="BA13" i="7" s="1"/>
  <c r="BB4" i="4"/>
  <c r="AY15" i="7"/>
  <c r="BB18" i="6"/>
  <c r="BA26" i="6"/>
  <c r="AZ8" i="5"/>
  <c r="AZ11" i="7" s="1"/>
  <c r="BA5" i="5"/>
  <c r="BB25" i="6"/>
  <c r="BC17" i="6"/>
  <c r="AZ28" i="6"/>
  <c r="BA20" i="6"/>
  <c r="AZ27" i="6"/>
  <c r="BA19" i="6"/>
  <c r="AW17" i="7"/>
  <c r="E35" i="7" s="1"/>
  <c r="AW16" i="7"/>
  <c r="E34" i="7" s="1"/>
  <c r="E33" i="7"/>
  <c r="AX15" i="7"/>
  <c r="BA27" i="6" l="1"/>
  <c r="BA31" i="6" s="1"/>
  <c r="BA14" i="7" s="1"/>
  <c r="BB19" i="6"/>
  <c r="BA8" i="5"/>
  <c r="BA11" i="7" s="1"/>
  <c r="BB5" i="5"/>
  <c r="AX17" i="7"/>
  <c r="AX16" i="7"/>
  <c r="AX18" i="7" s="1"/>
  <c r="BA28" i="6"/>
  <c r="BB20" i="6"/>
  <c r="BB10" i="4"/>
  <c r="BB13" i="7" s="1"/>
  <c r="BC4" i="4"/>
  <c r="AY17" i="7"/>
  <c r="AY16" i="7"/>
  <c r="AY18" i="7" s="1"/>
  <c r="AW18" i="7"/>
  <c r="BD17" i="6"/>
  <c r="BC25" i="6"/>
  <c r="AZ31" i="6"/>
  <c r="AZ14" i="7" s="1"/>
  <c r="BC18" i="6"/>
  <c r="BB26" i="6"/>
  <c r="BB29" i="6"/>
  <c r="BC21" i="6"/>
  <c r="BC10" i="4" l="1"/>
  <c r="BC13" i="7" s="1"/>
  <c r="BD4" i="4"/>
  <c r="BB8" i="5"/>
  <c r="BB11" i="7" s="1"/>
  <c r="BC5" i="5"/>
  <c r="BA15" i="7"/>
  <c r="BC29" i="6"/>
  <c r="BD21" i="6"/>
  <c r="BE17" i="6"/>
  <c r="BD25" i="6"/>
  <c r="BC20" i="6"/>
  <c r="BB28" i="6"/>
  <c r="AZ15" i="7"/>
  <c r="E36" i="7"/>
  <c r="AW20" i="7"/>
  <c r="AX20" i="7" s="1"/>
  <c r="AY20" i="7" s="1"/>
  <c r="BB27" i="6"/>
  <c r="BC19" i="6"/>
  <c r="BD18" i="6"/>
  <c r="BC26" i="6"/>
  <c r="BC8" i="5" l="1"/>
  <c r="BC11" i="7" s="1"/>
  <c r="BD5" i="5"/>
  <c r="BC28" i="6"/>
  <c r="BC31" i="6" s="1"/>
  <c r="BC14" i="7" s="1"/>
  <c r="BD20" i="6"/>
  <c r="BD10" i="4"/>
  <c r="BD13" i="7" s="1"/>
  <c r="BE4" i="4"/>
  <c r="BD29" i="6"/>
  <c r="BE21" i="6"/>
  <c r="BC27" i="6"/>
  <c r="BD19" i="6"/>
  <c r="BB31" i="6"/>
  <c r="BB14" i="7" s="1"/>
  <c r="BB15" i="7" s="1"/>
  <c r="BF17" i="6"/>
  <c r="BE25" i="6"/>
  <c r="BE18" i="6"/>
  <c r="BD26" i="6"/>
  <c r="AZ17" i="7"/>
  <c r="AZ16" i="7"/>
  <c r="BA16" i="7"/>
  <c r="BA17" i="7"/>
  <c r="BA18" i="7" l="1"/>
  <c r="BB16" i="7"/>
  <c r="BB17" i="7"/>
  <c r="BG17" i="6"/>
  <c r="BF25" i="6"/>
  <c r="BD27" i="6"/>
  <c r="BE19" i="6"/>
  <c r="BF21" i="6"/>
  <c r="BE29" i="6"/>
  <c r="BC15" i="7"/>
  <c r="BD8" i="5"/>
  <c r="BD11" i="7" s="1"/>
  <c r="BE5" i="5"/>
  <c r="AZ18" i="7"/>
  <c r="BE10" i="4"/>
  <c r="BE13" i="7" s="1"/>
  <c r="BF4" i="4"/>
  <c r="BE26" i="6"/>
  <c r="BF18" i="6"/>
  <c r="BD28" i="6"/>
  <c r="BD31" i="6" s="1"/>
  <c r="BD14" i="7" s="1"/>
  <c r="BE20" i="6"/>
  <c r="BB18" i="7" l="1"/>
  <c r="BH17" i="6"/>
  <c r="BG25" i="6"/>
  <c r="BF10" i="4"/>
  <c r="BF13" i="7" s="1"/>
  <c r="BG4" i="4"/>
  <c r="BF29" i="6"/>
  <c r="BG21" i="6"/>
  <c r="BD15" i="7"/>
  <c r="BE28" i="6"/>
  <c r="BE31" i="6" s="1"/>
  <c r="BE14" i="7" s="1"/>
  <c r="BF20" i="6"/>
  <c r="BE27" i="6"/>
  <c r="BF19" i="6"/>
  <c r="BC16" i="7"/>
  <c r="BC17" i="7"/>
  <c r="AZ20" i="7"/>
  <c r="BA20" i="7" s="1"/>
  <c r="BG18" i="6"/>
  <c r="BF26" i="6"/>
  <c r="BE8" i="5"/>
  <c r="BE11" i="7" s="1"/>
  <c r="BF5" i="5"/>
  <c r="BB20" i="7" l="1"/>
  <c r="BC18" i="7"/>
  <c r="BF8" i="5"/>
  <c r="BF11" i="7" s="1"/>
  <c r="BG5" i="5"/>
  <c r="BG10" i="4"/>
  <c r="BG13" i="7" s="1"/>
  <c r="BH4" i="4"/>
  <c r="BH18" i="6"/>
  <c r="BG26" i="6"/>
  <c r="BF28" i="6"/>
  <c r="BG20" i="6"/>
  <c r="BI17" i="6"/>
  <c r="BI25" i="6" s="1"/>
  <c r="BH25" i="6"/>
  <c r="BF27" i="6"/>
  <c r="BF31" i="6" s="1"/>
  <c r="BF14" i="7" s="1"/>
  <c r="BG19" i="6"/>
  <c r="BE15" i="7"/>
  <c r="BD16" i="7"/>
  <c r="BD17" i="7"/>
  <c r="BG29" i="6"/>
  <c r="BH21" i="6"/>
  <c r="BC20" i="7" l="1"/>
  <c r="BD18" i="7"/>
  <c r="BI18" i="6"/>
  <c r="BI26" i="6" s="1"/>
  <c r="BH26" i="6"/>
  <c r="BG27" i="6"/>
  <c r="BG31" i="6" s="1"/>
  <c r="BG14" i="7" s="1"/>
  <c r="BH19" i="6"/>
  <c r="BH10" i="4"/>
  <c r="BH13" i="7" s="1"/>
  <c r="BI4" i="4"/>
  <c r="F34" i="6"/>
  <c r="BG28" i="6"/>
  <c r="BH20" i="6"/>
  <c r="BG8" i="5"/>
  <c r="BG11" i="7" s="1"/>
  <c r="BG15" i="7" s="1"/>
  <c r="BH5" i="5"/>
  <c r="BE17" i="7"/>
  <c r="BE16" i="7"/>
  <c r="BE18" i="7" s="1"/>
  <c r="BF15" i="7"/>
  <c r="BH29" i="6"/>
  <c r="BI21" i="6"/>
  <c r="BI29" i="6" s="1"/>
  <c r="F37" i="6" s="1"/>
  <c r="BD20" i="7"/>
  <c r="BI10" i="4" l="1"/>
  <c r="BI13" i="7" s="1"/>
  <c r="F31" i="7" s="1"/>
  <c r="F21" i="4"/>
  <c r="F26" i="4" s="1"/>
  <c r="BH8" i="5"/>
  <c r="BH11" i="7" s="1"/>
  <c r="BH15" i="7" s="1"/>
  <c r="BI5" i="5"/>
  <c r="BG17" i="7"/>
  <c r="BG16" i="7"/>
  <c r="BG18" i="7" s="1"/>
  <c r="BH27" i="6"/>
  <c r="BH31" i="6" s="1"/>
  <c r="BH14" i="7" s="1"/>
  <c r="BI19" i="6"/>
  <c r="BI27" i="6" s="1"/>
  <c r="BE20" i="7"/>
  <c r="BH28" i="6"/>
  <c r="BI20" i="6"/>
  <c r="BI28" i="6" s="1"/>
  <c r="F36" i="6" s="1"/>
  <c r="BF17" i="7"/>
  <c r="BF16" i="7"/>
  <c r="BF18" i="7" s="1"/>
  <c r="BI8" i="5" l="1"/>
  <c r="BI11" i="7" s="1"/>
  <c r="F12" i="5"/>
  <c r="F15" i="5" s="1"/>
  <c r="BH17" i="7"/>
  <c r="BH16" i="7"/>
  <c r="BH18" i="7" s="1"/>
  <c r="BF20" i="7"/>
  <c r="BG20" i="7" s="1"/>
  <c r="F35" i="6"/>
  <c r="F38" i="6" s="1"/>
  <c r="BI31" i="6"/>
  <c r="BI14" i="7" s="1"/>
  <c r="F32" i="7" s="1"/>
  <c r="BH20" i="7" l="1"/>
  <c r="BI15" i="7"/>
  <c r="F29" i="7"/>
  <c r="BI16" i="7" l="1"/>
  <c r="F34" i="7" s="1"/>
  <c r="BI17" i="7"/>
  <c r="F35" i="7" s="1"/>
  <c r="F33" i="7"/>
  <c r="BI18" i="7" l="1"/>
  <c r="F36" i="7" l="1"/>
  <c r="BI20" i="7"/>
  <c r="B41" i="7" l="1"/>
  <c r="B39" i="7" a="1"/>
  <c r="B39" i="7" s="1"/>
  <c r="B42" i="7" s="1"/>
  <c r="B43" i="7" s="1"/>
  <c r="B4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5" authorId="0" shapeId="0" xr:uid="{00000000-0006-0000-0000-000007000000}">
      <text>
        <r>
          <rPr>
            <sz val="11"/>
            <color rgb="FF000000"/>
            <rFont val="Calibri"/>
            <scheme val="minor"/>
          </rPr>
          <t>======
ID#AAAA6rYP3Sk
jd    (2023-09-22 23:58:30)
Valor médio previsto para os próximos anos.</t>
        </r>
      </text>
    </comment>
    <comment ref="B16" authorId="0" shapeId="0" xr:uid="{00000000-0006-0000-0000-00000D000000}">
      <text>
        <r>
          <rPr>
            <sz val="11"/>
            <color rgb="FF000000"/>
            <rFont val="Calibri"/>
            <scheme val="minor"/>
          </rPr>
          <t>======
ID#AAAA6rYP3SI
jd    (2023-09-22 23:58:30)
Cidade de São Paulo, sede da Casa de Artesanato</t>
        </r>
      </text>
    </comment>
    <comment ref="B23" authorId="0" shapeId="0" xr:uid="{00000000-0006-0000-0000-000005000000}">
      <text>
        <r>
          <rPr>
            <sz val="11"/>
            <color rgb="FF000000"/>
            <rFont val="Calibri"/>
            <scheme val="minor"/>
          </rPr>
          <t>======
ID#AAAA6rYP3S0
jd    (2023-09-22 23:58:30)
Quantidade de vendas previstas</t>
        </r>
      </text>
    </comment>
    <comment ref="C23" authorId="0" shapeId="0" xr:uid="{00000000-0006-0000-0000-00000C000000}">
      <text>
        <r>
          <rPr>
            <sz val="11"/>
            <color rgb="FF000000"/>
            <rFont val="Calibri"/>
            <scheme val="minor"/>
          </rPr>
          <t>======
ID#AAAA6rYP3SM
Rogerio Alexandre Goes    (2023-09-22 23:58:30)
Aumento das vendas em 5% por Ano</t>
        </r>
      </text>
    </comment>
    <comment ref="B24" authorId="0" shapeId="0" xr:uid="{00000000-0006-0000-0000-000009000000}">
      <text>
        <r>
          <rPr>
            <sz val="11"/>
            <color rgb="FF000000"/>
            <rFont val="Calibri"/>
            <scheme val="minor"/>
          </rPr>
          <t>======
ID#AAAA6rYP3SY
Vilma    (2023-09-22 23:58:30)
Ticket médio dos produtos/serviços</t>
        </r>
      </text>
    </comment>
    <comment ref="C24" authorId="0" shapeId="0" xr:uid="{00000000-0006-0000-0000-000004000000}">
      <text>
        <r>
          <rPr>
            <sz val="11"/>
            <color rgb="FF000000"/>
            <rFont val="Calibri"/>
            <scheme val="minor"/>
          </rPr>
          <t>======
ID#AAAA6rYP3Sw
Vilma    (2023-09-22 23:58:30)
A partir do 2o ano, projeta-se reajuste de preços na ordem de 6% (Inflação)</t>
        </r>
      </text>
    </comment>
    <comment ref="B25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ID#AAAA6rYP3mQ
jd    (2023-09-22 23:58:30)
Quantidade de vendas previstas</t>
        </r>
      </text>
    </comment>
    <comment ref="C25" authorId="0" shapeId="0" xr:uid="{00000000-0006-0000-0000-000008000000}">
      <text>
        <r>
          <rPr>
            <sz val="11"/>
            <color rgb="FF000000"/>
            <rFont val="Calibri"/>
            <scheme val="minor"/>
          </rPr>
          <t>======
ID#AAAA6rYP3Sc
Rogerio Alexandre Goes    (2023-09-22 23:58:30)
Aumento das vendas em 5% por Ano</t>
        </r>
      </text>
    </comment>
    <comment ref="B26" authorId="0" shapeId="0" xr:uid="{00000000-0006-0000-0000-000006000000}">
      <text>
        <r>
          <rPr>
            <sz val="11"/>
            <color rgb="FF000000"/>
            <rFont val="Calibri"/>
            <scheme val="minor"/>
          </rPr>
          <t>======
ID#AAAA6rYP3Ss
Vilma    (2023-09-22 23:58:30)
Ticket médio dos produtos/serviços</t>
        </r>
      </text>
    </comment>
    <comment ref="C26" authorId="0" shapeId="0" xr:uid="{00000000-0006-0000-0000-00000E000000}">
      <text>
        <r>
          <rPr>
            <sz val="11"/>
            <color rgb="FF000000"/>
            <rFont val="Calibri"/>
            <scheme val="minor"/>
          </rPr>
          <t>======
ID#AAAA6rYP3SE
Vilma    (2023-09-22 23:58:30)
A partir do 2o ano, projeta-se reajuste de preços na ordem de 6% (Inflação)</t>
        </r>
      </text>
    </comment>
    <comment ref="B27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ID#AAAA6rYP3mM
jd    (2023-09-22 23:58:30)
volume de vendas</t>
        </r>
      </text>
    </comment>
    <comment ref="C27" authorId="0" shapeId="0" xr:uid="{00000000-0006-0000-0000-000003000000}">
      <text>
        <r>
          <rPr>
            <sz val="11"/>
            <color rgb="FF000000"/>
            <rFont val="Calibri"/>
            <scheme val="minor"/>
          </rPr>
          <t>======
ID#AAAA6rYP3S4
jd    (2023-09-22 23:58:30)
volume de vendas considerado aumento das vendas em 5%</t>
        </r>
      </text>
    </comment>
    <comment ref="B28" authorId="0" shapeId="0" xr:uid="{00000000-0006-0000-0000-00000A000000}">
      <text>
        <r>
          <rPr>
            <sz val="11"/>
            <color rgb="FF000000"/>
            <rFont val="Calibri"/>
            <scheme val="minor"/>
          </rPr>
          <t>======
ID#AAAA6rYP3SU
jd    (2023-09-22 23:58:30)
Ticket médio dos produtos/serviços
+ magem de lucro</t>
        </r>
      </text>
    </comment>
    <comment ref="C28" authorId="0" shapeId="0" xr:uid="{00000000-0006-0000-0000-00000B000000}">
      <text>
        <r>
          <rPr>
            <sz val="11"/>
            <color rgb="FF000000"/>
            <rFont val="Calibri"/>
            <scheme val="minor"/>
          </rPr>
          <t>======
ID#AAAA6rYP3SQ
jd    (2023-09-22 23:58:30)
A partir do 2o ano, projeta-se reajuste de preços na ordem de 6% (Inflação)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BGLsorAn/FJ/Lx5knmuGN+xBi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500-000001000000}">
      <text>
        <r>
          <rPr>
            <sz val="11"/>
            <color rgb="FF000000"/>
            <rFont val="Calibri"/>
            <scheme val="minor"/>
          </rPr>
          <t>======
ID#AAAA6rYP3Sg
jd    (2023-09-22 23:58:30)
Considerou-se que encargos e benefícios correspondem a 100% do salário. Assim, o valor apresentado aqui corresponde a 2 vezes o salário base do funcionário. A única exceção são os conselheiros (que emitem nota fiscal). O encargo sobre prolabore dos sócios também é um pouco menor.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6+VMnc4yOpEMh1GnYLfokI/5T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11"/>
            <color rgb="FF000000"/>
            <rFont val="Calibri"/>
            <scheme val="minor"/>
          </rPr>
          <t>======
ID#AAAA6rYP3So
jd    (2023-09-22 23:58:30)
Importante: nesta simulação, para simplificar a análise, considerou-se que todas as vendas ocorreram à vista e que os impostos incidentes são pagos no mesmo mês das vendas. Na prática, isso não ocorre, pois o fluxo de caixa será provavelmente influenciado por vendas a prazo e os impostos incidirão de acordo com o regime definido para a empresa: lucro real, lucro presumido etc. E ainda, caso você decida pela adesão ao Simples Nacional todos os impostos incidirão sobre a receita, já que há uma alíquota única de imposto.
Não foram consideradas ainda depreciação e amortização.
Isso posto, os resultados aqui apresentados servem apenas para se ter uma referência de valores e viabilidade financeira. Mesmo assim, não fogem muito da realidade, apesar das ressalvas acima. O cenário aqui apresentado é dos mais onerosos para o empreendedor, pois há impostos integrais incidentes na receita e no lucro, o que geralmente pode ser evitado legalmente com gestões financeira e contábil adequadas. Cabe destacar ainda que os investimentos feitos no negócio, quando focados em Pesquisa e Desenvolvimento (website, por exemplo) poderiam ser abatidos no imposto de renda até um certo limite, de acordo com a lei de inovação, melhorando ainda mais o resultado.
Finalmente, note que a projeção foi feita apenas até o ano 5. Caso a projeção continuasse pelo menos até o ano 6 (ano das Olimpíadas), os resultados aqui apresentados seriam ainda melhores, o que permitiria uma negociação mais adequada com os investidores, oferecendo a eles uma participação menor no negócio, pois provavelmente o VPL seria maior!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56Aqv0jto4c/9Dwd78kZITHwBw=="/>
    </ext>
  </extLst>
</comments>
</file>

<file path=xl/sharedStrings.xml><?xml version="1.0" encoding="utf-8"?>
<sst xmlns="http://schemas.openxmlformats.org/spreadsheetml/2006/main" count="267" uniqueCount="176">
  <si>
    <t>PREMISSAS</t>
  </si>
  <si>
    <t>Observação: passe o ícone (do mouse) sobre as células para ter acesso à explicação do memorial de cálculo</t>
  </si>
  <si>
    <t>PREMISSAS GERAIS</t>
  </si>
  <si>
    <t>Nome da Empresa</t>
  </si>
  <si>
    <t>Histyle</t>
  </si>
  <si>
    <t>Ano de Início da Operação</t>
  </si>
  <si>
    <t>Mês 1</t>
  </si>
  <si>
    <t>NÃO ALTERAR</t>
  </si>
  <si>
    <t>Ano Final da Projeção</t>
  </si>
  <si>
    <t>Mês 60</t>
  </si>
  <si>
    <t>Moeda</t>
  </si>
  <si>
    <t>R$</t>
  </si>
  <si>
    <t>Denominação</t>
  </si>
  <si>
    <t>000's</t>
  </si>
  <si>
    <t>Encargos e impostos</t>
  </si>
  <si>
    <t>Reajuste de salários (Selic, base 2023)</t>
  </si>
  <si>
    <t>ICMS</t>
  </si>
  <si>
    <t>PIS/COFINS</t>
  </si>
  <si>
    <t>Impostos sobre faturamento</t>
  </si>
  <si>
    <t>IR</t>
  </si>
  <si>
    <t>CSLL</t>
  </si>
  <si>
    <t>Premissas comerciais</t>
  </si>
  <si>
    <t>Ano 1</t>
  </si>
  <si>
    <t>Ano 2</t>
  </si>
  <si>
    <t>Ano 3</t>
  </si>
  <si>
    <t>Ano 4</t>
  </si>
  <si>
    <t>Ano 5</t>
  </si>
  <si>
    <t>Vendas de Produtos/Serviços (Receita) Assinatura</t>
  </si>
  <si>
    <t>Ticket médio nas vendas Assinatura</t>
  </si>
  <si>
    <t>Vendas de Produtos/Serviços (Receita) Jogo 1</t>
  </si>
  <si>
    <t>Ticket médio nas vendas Jogo1</t>
  </si>
  <si>
    <t>Venda de Produtos/Serviços 2 (Receita) Jogo 2</t>
  </si>
  <si>
    <t>Ticket médio 2 Jogo 2</t>
  </si>
  <si>
    <t>Jogo 1 vendido por mês</t>
  </si>
  <si>
    <t>Jogo 2 vendido por mês</t>
  </si>
  <si>
    <t>Assinaturas por mês</t>
  </si>
  <si>
    <t>Quantidade de itens vendidos por mês (1+2+assinatura)</t>
  </si>
  <si>
    <t>Faturamento assinatura</t>
  </si>
  <si>
    <t>Faturamento jogo 1</t>
  </si>
  <si>
    <t>Faturamento jogo 2</t>
  </si>
  <si>
    <t>TOTAL</t>
  </si>
  <si>
    <t>RECEITA</t>
  </si>
  <si>
    <t>Receita dos produtos vendidos</t>
  </si>
  <si>
    <t>Vendas ITEM 1 Jogo 1</t>
  </si>
  <si>
    <t>Jogo 1</t>
  </si>
  <si>
    <t>Vendas ITEM 2 Jogo 2</t>
  </si>
  <si>
    <t>Jogo 2</t>
  </si>
  <si>
    <t>Vendas ITEM 2 Assinatura</t>
  </si>
  <si>
    <t>Assinatura</t>
  </si>
  <si>
    <t>Receita Total</t>
  </si>
  <si>
    <t>RESULTADOS ANUAIS</t>
  </si>
  <si>
    <t>Vendas jogo 1</t>
  </si>
  <si>
    <t>Vendas Jogo 2</t>
  </si>
  <si>
    <t>RECEITA TOTAL</t>
  </si>
  <si>
    <t>ano 1</t>
  </si>
  <si>
    <t>ano 2</t>
  </si>
  <si>
    <t>ano 3</t>
  </si>
  <si>
    <t>ano 4 e 5</t>
  </si>
  <si>
    <t>Investimentos</t>
  </si>
  <si>
    <t>Investimentos em infraestrutura</t>
  </si>
  <si>
    <t>Computadores e manutenção deles</t>
  </si>
  <si>
    <t>Despesas</t>
  </si>
  <si>
    <t>Despesas operacionais</t>
  </si>
  <si>
    <t>Telefonia, energia elétrica e demais itens de telecomunicações</t>
  </si>
  <si>
    <t>Registro de marca</t>
  </si>
  <si>
    <t>Internet</t>
  </si>
  <si>
    <t>Treinamento e desenvovimento de equipe</t>
  </si>
  <si>
    <t>Plano de saúdo para funcionários</t>
  </si>
  <si>
    <t>Contador</t>
  </si>
  <si>
    <t>Custos</t>
  </si>
  <si>
    <t>Hospedagem do website</t>
  </si>
  <si>
    <t>Registro do jogo</t>
  </si>
  <si>
    <t>Adobe Premiere Pro</t>
  </si>
  <si>
    <t>Registro de jogo</t>
  </si>
  <si>
    <t>Salário dos Funcionários</t>
  </si>
  <si>
    <t>mês1</t>
  </si>
  <si>
    <t>mês 2</t>
  </si>
  <si>
    <t>mês3</t>
  </si>
  <si>
    <t>mês4</t>
  </si>
  <si>
    <t>mês5</t>
  </si>
  <si>
    <t>mês6</t>
  </si>
  <si>
    <t>mês7</t>
  </si>
  <si>
    <t>mês8</t>
  </si>
  <si>
    <t>mês9</t>
  </si>
  <si>
    <t>mês10</t>
  </si>
  <si>
    <t>mês11</t>
  </si>
  <si>
    <t>mês12</t>
  </si>
  <si>
    <t>mês13</t>
  </si>
  <si>
    <t>mês14</t>
  </si>
  <si>
    <t>mês15</t>
  </si>
  <si>
    <t>mês16</t>
  </si>
  <si>
    <t>mês17</t>
  </si>
  <si>
    <t>mês18</t>
  </si>
  <si>
    <t>mês19</t>
  </si>
  <si>
    <t>mês20</t>
  </si>
  <si>
    <t>mês21</t>
  </si>
  <si>
    <t>mês22</t>
  </si>
  <si>
    <t>mês23</t>
  </si>
  <si>
    <t>mês24</t>
  </si>
  <si>
    <t>mês25</t>
  </si>
  <si>
    <t>mês26</t>
  </si>
  <si>
    <t>mês27</t>
  </si>
  <si>
    <t>mês28</t>
  </si>
  <si>
    <t>mês29</t>
  </si>
  <si>
    <t>mês30</t>
  </si>
  <si>
    <t>mês31</t>
  </si>
  <si>
    <t>mês32</t>
  </si>
  <si>
    <t>mês33</t>
  </si>
  <si>
    <t>mês34</t>
  </si>
  <si>
    <t>mês35</t>
  </si>
  <si>
    <t>mês36</t>
  </si>
  <si>
    <t>mês37</t>
  </si>
  <si>
    <t>mês38</t>
  </si>
  <si>
    <t>mês39</t>
  </si>
  <si>
    <t>mês40</t>
  </si>
  <si>
    <t>mês41</t>
  </si>
  <si>
    <t>mês42</t>
  </si>
  <si>
    <t>mês43</t>
  </si>
  <si>
    <t>mês44</t>
  </si>
  <si>
    <t>mês45</t>
  </si>
  <si>
    <t>mês46</t>
  </si>
  <si>
    <t>mês47</t>
  </si>
  <si>
    <t>mês48</t>
  </si>
  <si>
    <t>mês49</t>
  </si>
  <si>
    <t>mês50</t>
  </si>
  <si>
    <t>mês51</t>
  </si>
  <si>
    <t>mês52</t>
  </si>
  <si>
    <t>mês53</t>
  </si>
  <si>
    <t>mês54</t>
  </si>
  <si>
    <t>mês55</t>
  </si>
  <si>
    <t>mês56</t>
  </si>
  <si>
    <t>mês57</t>
  </si>
  <si>
    <t>mês58</t>
  </si>
  <si>
    <t>mês59</t>
  </si>
  <si>
    <t>mês60</t>
  </si>
  <si>
    <t>QUADRO DE FUNCIONÁRIOS</t>
  </si>
  <si>
    <t>CEO</t>
  </si>
  <si>
    <t>OPERACIONAL</t>
  </si>
  <si>
    <t>DESENVOLVEDOR DE JOGOS</t>
  </si>
  <si>
    <t>ARTISTA GRÁFICO</t>
  </si>
  <si>
    <t>PROGRAMADOR</t>
  </si>
  <si>
    <t>SALÁRIOS (já com ENCARGOS/BENEFÍCIOS)</t>
  </si>
  <si>
    <t>CONSELHO</t>
  </si>
  <si>
    <t>GASTOS TOTAIS COM SALÁRIOS/BENEFÍCIOS</t>
  </si>
  <si>
    <t>GASTOS TOTAIS COM FUNCIONÁRIOS</t>
  </si>
  <si>
    <t>Desenvolvedor de jogos</t>
  </si>
  <si>
    <t>Artista gráfico</t>
  </si>
  <si>
    <t>Programador</t>
  </si>
  <si>
    <t>QUANTIDADE DE FUNCIONÁRIOS</t>
  </si>
  <si>
    <t>TOTAL DE FUNCIONÁRIOS</t>
  </si>
  <si>
    <t>TOTAL DE FUNCIONÁRIOS + CEO</t>
  </si>
  <si>
    <t>Resultados</t>
  </si>
  <si>
    <t>Receita</t>
  </si>
  <si>
    <t>Venda Assinatura</t>
  </si>
  <si>
    <t>Venda Jogo 1</t>
  </si>
  <si>
    <t>Venda Jogo 2</t>
  </si>
  <si>
    <t>Receita total bruta</t>
  </si>
  <si>
    <t>Impostos sobre a receita bruta</t>
  </si>
  <si>
    <t>Receita líquida</t>
  </si>
  <si>
    <t>Investimentos na infraestrutura</t>
  </si>
  <si>
    <t>Funcionários</t>
  </si>
  <si>
    <t>Lucro Bruto</t>
  </si>
  <si>
    <t>Lucro Líquido</t>
  </si>
  <si>
    <t>Caixa Acumulado [R$]</t>
  </si>
  <si>
    <t>Resultados Anuais</t>
  </si>
  <si>
    <t>Lucro Anual</t>
  </si>
  <si>
    <t>Taxa de desconto</t>
  </si>
  <si>
    <t>VPL</t>
  </si>
  <si>
    <t>APORTE</t>
  </si>
  <si>
    <t>equivale à máxima exposição do caixa (mês 36)</t>
  </si>
  <si>
    <t>TIR</t>
  </si>
  <si>
    <t>após 5 anos</t>
  </si>
  <si>
    <t>Pre-money valuation</t>
  </si>
  <si>
    <t>Post-money valuation</t>
  </si>
  <si>
    <t>Contrapartida ao investidor</t>
  </si>
  <si>
    <t>Venda 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</si>
</sst>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_-* #,##0_-;\-* #,##0_-;_-* &quot;-&quot;??_-;_-@"/>
    <numFmt numFmtId="167" formatCode="&quot;R$&quot;\ #,##0.00"/>
    <numFmt numFmtId="168" formatCode="_-* #,##0.00_-;\-* #,##0.00_-;_-* &quot;-&quot;??_-;_-@"/>
    <numFmt numFmtId="169" formatCode="_(* #,##0_);_(* \(#,##0\);_(* &quot;-&quot;_);_(@_)"/>
    <numFmt numFmtId="170" formatCode="_(&quot;$&quot;* #,##0.00_);_(&quot;$&quot;* \(#,##0.00\);_(&quot;$&quot;* &quot;-&quot;??_);_(@_)"/>
    <numFmt numFmtId="171" formatCode="&quot;R$ &quot;#,##0.00_);[Red]\(&quot;R$ &quot;#,##0.00\)"/>
  </numFmts>
  <fonts count="39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mo"/>
    </font>
    <font>
      <sz val="10"/>
      <color theme="1"/>
      <name val="Arimo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sz val="11"/>
      <color theme="1"/>
      <name val="Arimo"/>
    </font>
    <font>
      <b/>
      <sz val="11"/>
      <color theme="1"/>
      <name val="Arimo"/>
    </font>
    <font>
      <b/>
      <sz val="10"/>
      <color theme="1"/>
      <name val="Arimo"/>
    </font>
    <font>
      <sz val="10"/>
      <color rgb="FF000080"/>
      <name val="Arial"/>
      <family val="2"/>
    </font>
    <font>
      <b/>
      <sz val="10"/>
      <color theme="1"/>
      <name val="Arial"/>
      <family val="2"/>
    </font>
    <font>
      <i/>
      <u/>
      <sz val="11"/>
      <color theme="1"/>
      <name val="Arimo"/>
    </font>
    <font>
      <b/>
      <sz val="10"/>
      <color rgb="FFFF0000"/>
      <name val="Arial"/>
      <family val="2"/>
    </font>
    <font>
      <sz val="12"/>
      <color theme="1"/>
      <name val="Arimo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Arimo"/>
    </font>
    <font>
      <b/>
      <sz val="12"/>
      <color rgb="FF000000"/>
      <name val="Arimo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Arimo"/>
    </font>
    <font>
      <sz val="11"/>
      <color rgb="FF000000"/>
      <name val="Arimo"/>
    </font>
    <font>
      <b/>
      <sz val="16"/>
      <color theme="1"/>
      <name val="Arimo"/>
    </font>
    <font>
      <sz val="9"/>
      <color theme="1"/>
      <name val="Arimo"/>
    </font>
    <font>
      <b/>
      <sz val="9"/>
      <color theme="1"/>
      <name val="Arimo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  <font>
      <b/>
      <sz val="9"/>
      <color rgb="FF00008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9"/>
      <color rgb="FFFFFFFF"/>
      <name val="Arial"/>
      <family val="2"/>
    </font>
    <font>
      <sz val="11"/>
      <name val="Calibri"/>
      <family val="2"/>
    </font>
    <font>
      <b/>
      <sz val="12"/>
      <color theme="0"/>
      <name val="Arimo"/>
    </font>
    <font>
      <sz val="11"/>
      <color theme="0"/>
      <name val="Arimo"/>
    </font>
    <font>
      <sz val="12"/>
      <color rgb="FF000000"/>
      <name val="Arimo"/>
    </font>
    <font>
      <sz val="11"/>
      <color rgb="FFFFFF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8064A2"/>
        <bgColor rgb="FF8064A2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FBFBF"/>
        <bgColor rgb="FFBFBFBF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595959"/>
        <bgColor rgb="FF595959"/>
      </patternFill>
    </fill>
    <fill>
      <patternFill patternType="solid">
        <fgColor rgb="FF002060"/>
        <bgColor rgb="FF002060"/>
      </patternFill>
    </fill>
    <fill>
      <patternFill patternType="solid">
        <fgColor rgb="FFFFCC99"/>
        <bgColor rgb="FFFFCC99"/>
      </patternFill>
    </fill>
    <fill>
      <patternFill patternType="solid">
        <fgColor rgb="FF5F497A"/>
        <bgColor rgb="FF5F497A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 applyFont="1" applyAlignment="1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13" fillId="0" borderId="0" xfId="0" applyFont="1"/>
    <xf numFmtId="0" fontId="3" fillId="3" borderId="4" xfId="0" applyFont="1" applyFill="1" applyBorder="1" applyAlignment="1">
      <alignment horizontal="right"/>
    </xf>
    <xf numFmtId="0" fontId="14" fillId="0" borderId="0" xfId="0" applyFont="1"/>
    <xf numFmtId="0" fontId="3" fillId="0" borderId="0" xfId="0" applyFont="1"/>
    <xf numFmtId="0" fontId="3" fillId="3" borderId="5" xfId="0" applyFont="1" applyFill="1" applyBorder="1" applyAlignment="1">
      <alignment horizontal="right"/>
    </xf>
    <xf numFmtId="0" fontId="12" fillId="0" borderId="5" xfId="0" applyFont="1" applyBorder="1" applyAlignment="1">
      <alignment horizontal="left"/>
    </xf>
    <xf numFmtId="0" fontId="13" fillId="3" borderId="5" xfId="0" applyFont="1" applyFill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8" fillId="2" borderId="2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16" fillId="0" borderId="6" xfId="0" applyFont="1" applyBorder="1"/>
    <xf numFmtId="0" fontId="17" fillId="4" borderId="4" xfId="0" applyFont="1" applyFill="1" applyBorder="1"/>
    <xf numFmtId="10" fontId="17" fillId="0" borderId="7" xfId="0" applyNumberFormat="1" applyFont="1" applyBorder="1" applyAlignment="1">
      <alignment horizontal="right"/>
    </xf>
    <xf numFmtId="0" fontId="17" fillId="4" borderId="5" xfId="0" applyFont="1" applyFill="1" applyBorder="1"/>
    <xf numFmtId="9" fontId="17" fillId="0" borderId="5" xfId="0" applyNumberFormat="1" applyFont="1" applyBorder="1"/>
    <xf numFmtId="10" fontId="17" fillId="0" borderId="5" xfId="0" applyNumberFormat="1" applyFont="1" applyBorder="1"/>
    <xf numFmtId="0" fontId="15" fillId="5" borderId="2" xfId="0" applyFont="1" applyFill="1" applyBorder="1"/>
    <xf numFmtId="0" fontId="15" fillId="5" borderId="8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6" fillId="4" borderId="4" xfId="0" applyFont="1" applyFill="1" applyBorder="1"/>
    <xf numFmtId="1" fontId="16" fillId="0" borderId="7" xfId="0" applyNumberFormat="1" applyFont="1" applyBorder="1"/>
    <xf numFmtId="1" fontId="16" fillId="0" borderId="0" xfId="0" applyNumberFormat="1" applyFont="1"/>
    <xf numFmtId="0" fontId="16" fillId="4" borderId="5" xfId="0" applyFont="1" applyFill="1" applyBorder="1"/>
    <xf numFmtId="164" fontId="16" fillId="0" borderId="5" xfId="0" applyNumberFormat="1" applyFont="1" applyBorder="1"/>
    <xf numFmtId="9" fontId="16" fillId="0" borderId="0" xfId="0" applyNumberFormat="1" applyFont="1"/>
    <xf numFmtId="0" fontId="16" fillId="0" borderId="5" xfId="0" applyFont="1" applyBorder="1"/>
    <xf numFmtId="1" fontId="16" fillId="0" borderId="5" xfId="0" applyNumberFormat="1" applyFont="1" applyBorder="1"/>
    <xf numFmtId="165" fontId="16" fillId="0" borderId="0" xfId="0" applyNumberFormat="1" applyFont="1" applyAlignment="1">
      <alignment horizontal="right" wrapText="1"/>
    </xf>
    <xf numFmtId="166" fontId="16" fillId="0" borderId="0" xfId="0" applyNumberFormat="1" applyFont="1"/>
    <xf numFmtId="167" fontId="16" fillId="0" borderId="5" xfId="0" applyNumberFormat="1" applyFont="1" applyBorder="1"/>
    <xf numFmtId="0" fontId="16" fillId="4" borderId="9" xfId="0" applyFont="1" applyFill="1" applyBorder="1"/>
    <xf numFmtId="0" fontId="16" fillId="4" borderId="2" xfId="0" applyFont="1" applyFill="1" applyBorder="1"/>
    <xf numFmtId="167" fontId="16" fillId="0" borderId="10" xfId="0" applyNumberFormat="1" applyFont="1" applyBorder="1"/>
    <xf numFmtId="165" fontId="16" fillId="0" borderId="0" xfId="0" applyNumberFormat="1" applyFont="1"/>
    <xf numFmtId="165" fontId="15" fillId="0" borderId="0" xfId="0" applyNumberFormat="1" applyFont="1"/>
    <xf numFmtId="0" fontId="2" fillId="6" borderId="1" xfId="0" applyFont="1" applyFill="1" applyBorder="1"/>
    <xf numFmtId="0" fontId="18" fillId="7" borderId="11" xfId="0" applyFont="1" applyFill="1" applyBorder="1" applyAlignment="1">
      <alignment horizontal="left"/>
    </xf>
    <xf numFmtId="0" fontId="18" fillId="7" borderId="12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/>
    </xf>
    <xf numFmtId="165" fontId="16" fillId="0" borderId="14" xfId="0" applyNumberFormat="1" applyFont="1" applyBorder="1"/>
    <xf numFmtId="0" fontId="15" fillId="8" borderId="15" xfId="0" applyFont="1" applyFill="1" applyBorder="1"/>
    <xf numFmtId="165" fontId="15" fillId="9" borderId="8" xfId="0" applyNumberFormat="1" applyFont="1" applyFill="1" applyBorder="1"/>
    <xf numFmtId="165" fontId="15" fillId="9" borderId="16" xfId="0" applyNumberFormat="1" applyFont="1" applyFill="1" applyBorder="1"/>
    <xf numFmtId="0" fontId="18" fillId="7" borderId="2" xfId="0" applyFont="1" applyFill="1" applyBorder="1" applyAlignment="1">
      <alignment horizontal="left"/>
    </xf>
    <xf numFmtId="0" fontId="18" fillId="7" borderId="8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left"/>
    </xf>
    <xf numFmtId="165" fontId="16" fillId="0" borderId="7" xfId="0" applyNumberFormat="1" applyFont="1" applyBorder="1"/>
    <xf numFmtId="0" fontId="15" fillId="8" borderId="2" xfId="0" applyFont="1" applyFill="1" applyBorder="1"/>
    <xf numFmtId="0" fontId="15" fillId="10" borderId="1" xfId="0" applyFont="1" applyFill="1" applyBorder="1"/>
    <xf numFmtId="165" fontId="15" fillId="10" borderId="1" xfId="0" applyNumberFormat="1" applyFont="1" applyFill="1" applyBorder="1"/>
    <xf numFmtId="0" fontId="19" fillId="6" borderId="2" xfId="0" applyFont="1" applyFill="1" applyBorder="1"/>
    <xf numFmtId="165" fontId="15" fillId="6" borderId="8" xfId="0" applyNumberFormat="1" applyFont="1" applyFill="1" applyBorder="1"/>
    <xf numFmtId="165" fontId="15" fillId="6" borderId="3" xfId="0" applyNumberFormat="1" applyFont="1" applyFill="1" applyBorder="1"/>
    <xf numFmtId="0" fontId="20" fillId="2" borderId="5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21" fillId="0" borderId="5" xfId="0" applyFont="1" applyBorder="1"/>
    <xf numFmtId="165" fontId="21" fillId="0" borderId="5" xfId="0" applyNumberFormat="1" applyFont="1" applyBorder="1"/>
    <xf numFmtId="0" fontId="20" fillId="6" borderId="5" xfId="0" applyFont="1" applyFill="1" applyBorder="1"/>
    <xf numFmtId="165" fontId="21" fillId="6" borderId="5" xfId="0" applyNumberFormat="1" applyFont="1" applyFill="1" applyBorder="1" applyAlignment="1">
      <alignment horizontal="right"/>
    </xf>
    <xf numFmtId="0" fontId="3" fillId="3" borderId="17" xfId="0" applyFont="1" applyFill="1" applyBorder="1" applyAlignment="1">
      <alignment horizontal="left"/>
    </xf>
    <xf numFmtId="0" fontId="8" fillId="9" borderId="2" xfId="0" applyFont="1" applyFill="1" applyBorder="1" applyAlignment="1">
      <alignment horizontal="left"/>
    </xf>
    <xf numFmtId="0" fontId="22" fillId="2" borderId="2" xfId="0" applyFont="1" applyFill="1" applyBorder="1"/>
    <xf numFmtId="0" fontId="22" fillId="2" borderId="8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165" fontId="23" fillId="0" borderId="7" xfId="0" applyNumberFormat="1" applyFont="1" applyBorder="1"/>
    <xf numFmtId="0" fontId="22" fillId="9" borderId="2" xfId="0" applyFont="1" applyFill="1" applyBorder="1"/>
    <xf numFmtId="165" fontId="22" fillId="9" borderId="8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 applyAlignment="1">
      <alignment horizontal="left"/>
    </xf>
    <xf numFmtId="4" fontId="16" fillId="0" borderId="5" xfId="0" applyNumberFormat="1" applyFont="1" applyBorder="1"/>
    <xf numFmtId="0" fontId="3" fillId="3" borderId="5" xfId="0" applyFont="1" applyFill="1" applyBorder="1"/>
    <xf numFmtId="0" fontId="8" fillId="9" borderId="2" xfId="0" applyFont="1" applyFill="1" applyBorder="1"/>
    <xf numFmtId="0" fontId="18" fillId="2" borderId="2" xfId="0" applyFont="1" applyFill="1" applyBorder="1" applyAlignment="1">
      <alignment horizontal="left"/>
    </xf>
    <xf numFmtId="0" fontId="18" fillId="2" borderId="8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2" fontId="16" fillId="0" borderId="7" xfId="0" applyNumberFormat="1" applyFont="1" applyBorder="1"/>
    <xf numFmtId="165" fontId="16" fillId="0" borderId="5" xfId="0" applyNumberFormat="1" applyFont="1" applyBorder="1"/>
    <xf numFmtId="2" fontId="16" fillId="0" borderId="5" xfId="0" applyNumberFormat="1" applyFont="1" applyBorder="1"/>
    <xf numFmtId="165" fontId="15" fillId="9" borderId="3" xfId="0" applyNumberFormat="1" applyFont="1" applyFill="1" applyBorder="1"/>
    <xf numFmtId="168" fontId="16" fillId="0" borderId="0" xfId="0" applyNumberFormat="1" applyFont="1"/>
    <xf numFmtId="0" fontId="3" fillId="0" borderId="5" xfId="0" applyFont="1" applyBorder="1" applyAlignment="1">
      <alignment horizontal="left"/>
    </xf>
    <xf numFmtId="167" fontId="16" fillId="0" borderId="0" xfId="0" applyNumberFormat="1" applyFont="1"/>
    <xf numFmtId="0" fontId="24" fillId="2" borderId="1" xfId="0" applyFont="1" applyFill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6" fillId="0" borderId="18" xfId="0" applyFont="1" applyBorder="1"/>
    <xf numFmtId="0" fontId="26" fillId="3" borderId="19" xfId="0" applyFont="1" applyFill="1" applyBorder="1" applyAlignment="1">
      <alignment horizontal="center"/>
    </xf>
    <xf numFmtId="0" fontId="26" fillId="3" borderId="20" xfId="0" applyFont="1" applyFill="1" applyBorder="1" applyAlignment="1">
      <alignment horizontal="center"/>
    </xf>
    <xf numFmtId="0" fontId="26" fillId="3" borderId="21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1" fontId="26" fillId="0" borderId="6" xfId="0" applyNumberFormat="1" applyFont="1" applyBorder="1" applyAlignment="1">
      <alignment horizontal="left"/>
    </xf>
    <xf numFmtId="17" fontId="26" fillId="3" borderId="22" xfId="0" applyNumberFormat="1" applyFont="1" applyFill="1" applyBorder="1" applyAlignment="1">
      <alignment horizontal="center"/>
    </xf>
    <xf numFmtId="17" fontId="26" fillId="3" borderId="23" xfId="0" applyNumberFormat="1" applyFont="1" applyFill="1" applyBorder="1" applyAlignment="1">
      <alignment horizontal="center"/>
    </xf>
    <xf numFmtId="17" fontId="26" fillId="3" borderId="24" xfId="0" applyNumberFormat="1" applyFont="1" applyFill="1" applyBorder="1" applyAlignment="1">
      <alignment horizontal="center"/>
    </xf>
    <xf numFmtId="17" fontId="26" fillId="0" borderId="0" xfId="0" applyNumberFormat="1" applyFont="1" applyAlignment="1">
      <alignment horizontal="center"/>
    </xf>
    <xf numFmtId="0" fontId="28" fillId="7" borderId="25" xfId="0" applyFont="1" applyFill="1" applyBorder="1"/>
    <xf numFmtId="0" fontId="27" fillId="0" borderId="26" xfId="0" applyFont="1" applyBorder="1"/>
    <xf numFmtId="0" fontId="27" fillId="0" borderId="27" xfId="0" applyFont="1" applyBorder="1"/>
    <xf numFmtId="0" fontId="27" fillId="0" borderId="28" xfId="0" applyFont="1" applyBorder="1"/>
    <xf numFmtId="0" fontId="28" fillId="11" borderId="1" xfId="0" applyFont="1" applyFill="1" applyBorder="1" applyAlignment="1">
      <alignment horizontal="right"/>
    </xf>
    <xf numFmtId="169" fontId="29" fillId="0" borderId="5" xfId="0" applyNumberFormat="1" applyFont="1" applyBorder="1" applyAlignment="1">
      <alignment horizontal="center"/>
    </xf>
    <xf numFmtId="169" fontId="29" fillId="0" borderId="0" xfId="0" applyNumberFormat="1" applyFont="1" applyAlignment="1">
      <alignment horizontal="center"/>
    </xf>
    <xf numFmtId="0" fontId="27" fillId="3" borderId="1" xfId="0" applyFont="1" applyFill="1" applyBorder="1" applyAlignment="1">
      <alignment horizontal="right"/>
    </xf>
    <xf numFmtId="0" fontId="27" fillId="12" borderId="1" xfId="0" applyFont="1" applyFill="1" applyBorder="1" applyAlignment="1">
      <alignment horizontal="center"/>
    </xf>
    <xf numFmtId="169" fontId="29" fillId="12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left"/>
    </xf>
    <xf numFmtId="0" fontId="27" fillId="0" borderId="0" xfId="0" applyFont="1" applyAlignment="1">
      <alignment horizontal="center"/>
    </xf>
    <xf numFmtId="0" fontId="27" fillId="0" borderId="29" xfId="0" applyFont="1" applyBorder="1"/>
    <xf numFmtId="0" fontId="27" fillId="0" borderId="5" xfId="0" applyFont="1" applyBorder="1"/>
    <xf numFmtId="170" fontId="30" fillId="0" borderId="5" xfId="0" applyNumberFormat="1" applyFont="1" applyBorder="1" applyAlignment="1">
      <alignment horizontal="center"/>
    </xf>
    <xf numFmtId="170" fontId="30" fillId="0" borderId="5" xfId="0" applyNumberFormat="1" applyFont="1" applyBorder="1"/>
    <xf numFmtId="170" fontId="30" fillId="0" borderId="0" xfId="0" applyNumberFormat="1" applyFont="1"/>
    <xf numFmtId="0" fontId="27" fillId="8" borderId="1" xfId="0" applyFont="1" applyFill="1" applyBorder="1" applyAlignment="1">
      <alignment horizontal="right"/>
    </xf>
    <xf numFmtId="170" fontId="30" fillId="0" borderId="0" xfId="0" applyNumberFormat="1" applyFont="1" applyAlignment="1">
      <alignment horizontal="center"/>
    </xf>
    <xf numFmtId="170" fontId="30" fillId="12" borderId="1" xfId="0" applyNumberFormat="1" applyFont="1" applyFill="1" applyBorder="1" applyAlignment="1">
      <alignment horizontal="center"/>
    </xf>
    <xf numFmtId="169" fontId="27" fillId="0" borderId="5" xfId="0" applyNumberFormat="1" applyFont="1" applyBorder="1"/>
    <xf numFmtId="169" fontId="27" fillId="0" borderId="0" xfId="0" applyNumberFormat="1" applyFont="1"/>
    <xf numFmtId="0" fontId="28" fillId="8" borderId="1" xfId="0" applyFont="1" applyFill="1" applyBorder="1" applyAlignment="1">
      <alignment horizontal="right"/>
    </xf>
    <xf numFmtId="169" fontId="27" fillId="12" borderId="1" xfId="0" applyNumberFormat="1" applyFont="1" applyFill="1" applyBorder="1"/>
    <xf numFmtId="0" fontId="28" fillId="9" borderId="1" xfId="0" applyFont="1" applyFill="1" applyBorder="1"/>
    <xf numFmtId="170" fontId="28" fillId="9" borderId="1" xfId="0" applyNumberFormat="1" applyFont="1" applyFill="1" applyBorder="1"/>
    <xf numFmtId="170" fontId="28" fillId="0" borderId="0" xfId="0" applyNumberFormat="1" applyFont="1"/>
    <xf numFmtId="0" fontId="31" fillId="13" borderId="2" xfId="0" applyFont="1" applyFill="1" applyBorder="1" applyAlignment="1">
      <alignment horizontal="left"/>
    </xf>
    <xf numFmtId="0" fontId="32" fillId="13" borderId="8" xfId="0" applyFont="1" applyFill="1" applyBorder="1" applyAlignment="1">
      <alignment horizontal="center"/>
    </xf>
    <xf numFmtId="0" fontId="32" fillId="13" borderId="3" xfId="0" applyFont="1" applyFill="1" applyBorder="1" applyAlignment="1">
      <alignment horizontal="center"/>
    </xf>
    <xf numFmtId="0" fontId="27" fillId="0" borderId="5" xfId="0" applyFont="1" applyBorder="1" applyAlignment="1">
      <alignment horizontal="right"/>
    </xf>
    <xf numFmtId="164" fontId="27" fillId="0" borderId="5" xfId="0" applyNumberFormat="1" applyFont="1" applyBorder="1"/>
    <xf numFmtId="0" fontId="32" fillId="13" borderId="2" xfId="0" applyFont="1" applyFill="1" applyBorder="1"/>
    <xf numFmtId="164" fontId="32" fillId="13" borderId="8" xfId="0" applyNumberFormat="1" applyFont="1" applyFill="1" applyBorder="1"/>
    <xf numFmtId="0" fontId="33" fillId="0" borderId="0" xfId="0" applyFont="1"/>
    <xf numFmtId="169" fontId="27" fillId="0" borderId="5" xfId="0" applyNumberFormat="1" applyFont="1" applyBorder="1" applyAlignment="1">
      <alignment horizontal="center"/>
    </xf>
    <xf numFmtId="0" fontId="32" fillId="13" borderId="19" xfId="0" applyFont="1" applyFill="1" applyBorder="1" applyAlignment="1">
      <alignment horizontal="left"/>
    </xf>
    <xf numFmtId="169" fontId="32" fillId="13" borderId="20" xfId="0" applyNumberFormat="1" applyFont="1" applyFill="1" applyBorder="1" applyAlignment="1">
      <alignment horizontal="center"/>
    </xf>
    <xf numFmtId="0" fontId="28" fillId="9" borderId="22" xfId="0" applyFont="1" applyFill="1" applyBorder="1"/>
    <xf numFmtId="169" fontId="28" fillId="9" borderId="30" xfId="0" applyNumberFormat="1" applyFont="1" applyFill="1" applyBorder="1"/>
    <xf numFmtId="0" fontId="18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3" fillId="14" borderId="1" xfId="0" applyFont="1" applyFill="1" applyBorder="1" applyAlignment="1">
      <alignment horizontal="left"/>
    </xf>
    <xf numFmtId="171" fontId="6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1" fontId="23" fillId="6" borderId="1" xfId="0" applyNumberFormat="1" applyFont="1" applyFill="1" applyBorder="1"/>
    <xf numFmtId="164" fontId="16" fillId="0" borderId="0" xfId="0" applyNumberFormat="1" applyFont="1"/>
    <xf numFmtId="0" fontId="13" fillId="14" borderId="1" xfId="0" applyFont="1" applyFill="1" applyBorder="1" applyAlignment="1">
      <alignment horizontal="left"/>
    </xf>
    <xf numFmtId="171" fontId="23" fillId="0" borderId="0" xfId="0" applyNumberFormat="1" applyFont="1"/>
    <xf numFmtId="164" fontId="22" fillId="6" borderId="1" xfId="0" applyNumberFormat="1" applyFont="1" applyFill="1" applyBorder="1"/>
    <xf numFmtId="164" fontId="15" fillId="0" borderId="0" xfId="0" applyNumberFormat="1" applyFont="1"/>
    <xf numFmtId="9" fontId="23" fillId="0" borderId="0" xfId="0" applyNumberFormat="1" applyFont="1"/>
    <xf numFmtId="0" fontId="23" fillId="0" borderId="0" xfId="0" applyFont="1"/>
    <xf numFmtId="0" fontId="19" fillId="6" borderId="1" xfId="0" applyFont="1" applyFill="1" applyBorder="1"/>
    <xf numFmtId="164" fontId="20" fillId="0" borderId="0" xfId="0" applyNumberFormat="1" applyFont="1"/>
    <xf numFmtId="0" fontId="35" fillId="15" borderId="2" xfId="0" applyFont="1" applyFill="1" applyBorder="1"/>
    <xf numFmtId="0" fontId="35" fillId="15" borderId="8" xfId="0" applyFont="1" applyFill="1" applyBorder="1" applyAlignment="1">
      <alignment horizontal="center"/>
    </xf>
    <xf numFmtId="0" fontId="35" fillId="15" borderId="3" xfId="0" applyFont="1" applyFill="1" applyBorder="1" applyAlignment="1">
      <alignment horizontal="center"/>
    </xf>
    <xf numFmtId="0" fontId="23" fillId="0" borderId="7" xfId="0" applyFont="1" applyBorder="1" applyAlignment="1">
      <alignment horizontal="left"/>
    </xf>
    <xf numFmtId="164" fontId="23" fillId="0" borderId="7" xfId="0" applyNumberFormat="1" applyFont="1" applyBorder="1" applyAlignment="1">
      <alignment horizontal="right"/>
    </xf>
    <xf numFmtId="164" fontId="23" fillId="0" borderId="5" xfId="0" applyNumberFormat="1" applyFont="1" applyBorder="1" applyAlignment="1">
      <alignment horizontal="right"/>
    </xf>
    <xf numFmtId="0" fontId="35" fillId="15" borderId="5" xfId="0" applyFont="1" applyFill="1" applyBorder="1" applyAlignment="1">
      <alignment horizontal="left"/>
    </xf>
    <xf numFmtId="164" fontId="36" fillId="15" borderId="5" xfId="0" applyNumberFormat="1" applyFont="1" applyFill="1" applyBorder="1" applyAlignment="1">
      <alignment horizontal="right"/>
    </xf>
    <xf numFmtId="0" fontId="13" fillId="0" borderId="5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164" fontId="23" fillId="0" borderId="14" xfId="0" applyNumberFormat="1" applyFont="1" applyBorder="1" applyAlignment="1">
      <alignment horizontal="right"/>
    </xf>
    <xf numFmtId="0" fontId="35" fillId="15" borderId="11" xfId="0" applyFont="1" applyFill="1" applyBorder="1"/>
    <xf numFmtId="164" fontId="35" fillId="15" borderId="12" xfId="0" applyNumberFormat="1" applyFont="1" applyFill="1" applyBorder="1" applyAlignment="1">
      <alignment horizontal="right"/>
    </xf>
    <xf numFmtId="164" fontId="35" fillId="15" borderId="8" xfId="0" applyNumberFormat="1" applyFont="1" applyFill="1" applyBorder="1" applyAlignment="1">
      <alignment horizontal="right"/>
    </xf>
    <xf numFmtId="164" fontId="35" fillId="15" borderId="3" xfId="0" applyNumberFormat="1" applyFont="1" applyFill="1" applyBorder="1" applyAlignment="1">
      <alignment horizontal="right"/>
    </xf>
    <xf numFmtId="0" fontId="35" fillId="16" borderId="34" xfId="0" applyFont="1" applyFill="1" applyBorder="1"/>
    <xf numFmtId="164" fontId="35" fillId="16" borderId="35" xfId="0" applyNumberFormat="1" applyFont="1" applyFill="1" applyBorder="1" applyAlignment="1">
      <alignment horizontal="right"/>
    </xf>
    <xf numFmtId="164" fontId="35" fillId="16" borderId="1" xfId="0" applyNumberFormat="1" applyFont="1" applyFill="1" applyBorder="1" applyAlignment="1">
      <alignment horizontal="right"/>
    </xf>
    <xf numFmtId="164" fontId="16" fillId="16" borderId="1" xfId="0" applyNumberFormat="1" applyFont="1" applyFill="1" applyBorder="1"/>
    <xf numFmtId="0" fontId="16" fillId="16" borderId="1" xfId="0" applyFont="1" applyFill="1" applyBorder="1"/>
    <xf numFmtId="0" fontId="19" fillId="0" borderId="19" xfId="0" applyFont="1" applyBorder="1"/>
    <xf numFmtId="9" fontId="37" fillId="0" borderId="21" xfId="0" applyNumberFormat="1" applyFont="1" applyBorder="1" applyAlignment="1">
      <alignment horizontal="right"/>
    </xf>
    <xf numFmtId="0" fontId="37" fillId="0" borderId="0" xfId="0" applyFont="1" applyAlignment="1">
      <alignment horizontal="right"/>
    </xf>
    <xf numFmtId="0" fontId="19" fillId="17" borderId="36" xfId="0" applyFont="1" applyFill="1" applyBorder="1"/>
    <xf numFmtId="167" fontId="37" fillId="17" borderId="37" xfId="0" applyNumberFormat="1" applyFont="1" applyFill="1" applyBorder="1" applyAlignment="1">
      <alignment horizontal="right"/>
    </xf>
    <xf numFmtId="164" fontId="19" fillId="0" borderId="0" xfId="0" applyNumberFormat="1" applyFont="1" applyAlignment="1">
      <alignment horizontal="right"/>
    </xf>
    <xf numFmtId="0" fontId="19" fillId="0" borderId="36" xfId="0" applyFont="1" applyBorder="1" applyAlignment="1">
      <alignment horizontal="left"/>
    </xf>
    <xf numFmtId="164" fontId="22" fillId="8" borderId="37" xfId="0" applyNumberFormat="1" applyFont="1" applyFill="1" applyBorder="1"/>
    <xf numFmtId="0" fontId="37" fillId="0" borderId="0" xfId="0" applyFont="1" applyAlignment="1">
      <alignment horizontal="left"/>
    </xf>
    <xf numFmtId="165" fontId="37" fillId="0" borderId="0" xfId="0" applyNumberFormat="1" applyFont="1"/>
    <xf numFmtId="0" fontId="19" fillId="17" borderId="36" xfId="0" applyFont="1" applyFill="1" applyBorder="1" applyAlignment="1">
      <alignment horizontal="left"/>
    </xf>
    <xf numFmtId="9" fontId="23" fillId="17" borderId="37" xfId="0" applyNumberFormat="1" applyFont="1" applyFill="1" applyBorder="1"/>
    <xf numFmtId="167" fontId="37" fillId="0" borderId="37" xfId="0" applyNumberFormat="1" applyFont="1" applyBorder="1"/>
    <xf numFmtId="165" fontId="38" fillId="0" borderId="0" xfId="0" applyNumberFormat="1" applyFont="1"/>
    <xf numFmtId="0" fontId="19" fillId="0" borderId="22" xfId="0" applyFont="1" applyBorder="1" applyAlignment="1">
      <alignment horizontal="left"/>
    </xf>
    <xf numFmtId="9" fontId="37" fillId="0" borderId="38" xfId="0" applyNumberFormat="1" applyFont="1" applyBorder="1"/>
    <xf numFmtId="0" fontId="11" fillId="0" borderId="0" xfId="0" applyFont="1" applyAlignment="1">
      <alignment horizontal="center" vertical="center" wrapText="1"/>
    </xf>
    <xf numFmtId="0" fontId="0" fillId="0" borderId="0" xfId="0" applyFont="1" applyAlignment="1"/>
    <xf numFmtId="0" fontId="2" fillId="2" borderId="31" xfId="0" applyFont="1" applyFill="1" applyBorder="1" applyAlignment="1">
      <alignment horizontal="left"/>
    </xf>
    <xf numFmtId="0" fontId="34" fillId="0" borderId="32" xfId="0" applyFont="1" applyBorder="1"/>
    <xf numFmtId="0" fontId="34" fillId="0" borderId="33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BR" b="1" i="0">
                <a:solidFill>
                  <a:srgbClr val="757575"/>
                </a:solidFill>
                <a:latin typeface="+mn-lt"/>
              </a:rPr>
              <a:t>Qtde Itens Vendidos/Mês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Jogo 1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Receita!$B$7:$BI$7</c:f>
              <c:numCache>
                <c:formatCode>0</c:formatCode>
                <c:ptCount val="60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125</c:v>
                </c:pt>
                <c:pt idx="13">
                  <c:v>125</c:v>
                </c:pt>
                <c:pt idx="14">
                  <c:v>125</c:v>
                </c:pt>
                <c:pt idx="15">
                  <c:v>125</c:v>
                </c:pt>
                <c:pt idx="16">
                  <c:v>125</c:v>
                </c:pt>
                <c:pt idx="17">
                  <c:v>125</c:v>
                </c:pt>
                <c:pt idx="18">
                  <c:v>125</c:v>
                </c:pt>
                <c:pt idx="19">
                  <c:v>125</c:v>
                </c:pt>
                <c:pt idx="20">
                  <c:v>125</c:v>
                </c:pt>
                <c:pt idx="21">
                  <c:v>125</c:v>
                </c:pt>
                <c:pt idx="22">
                  <c:v>125</c:v>
                </c:pt>
                <c:pt idx="23">
                  <c:v>125</c:v>
                </c:pt>
                <c:pt idx="24">
                  <c:v>83.333333333333329</c:v>
                </c:pt>
                <c:pt idx="25">
                  <c:v>83.333333333333329</c:v>
                </c:pt>
                <c:pt idx="26">
                  <c:v>83.333333333333329</c:v>
                </c:pt>
                <c:pt idx="27">
                  <c:v>83.333333333333329</c:v>
                </c:pt>
                <c:pt idx="28">
                  <c:v>83.333333333333329</c:v>
                </c:pt>
                <c:pt idx="29">
                  <c:v>83.333333333333329</c:v>
                </c:pt>
                <c:pt idx="30">
                  <c:v>83.333333333333329</c:v>
                </c:pt>
                <c:pt idx="31">
                  <c:v>83.333333333333329</c:v>
                </c:pt>
                <c:pt idx="32">
                  <c:v>83.333333333333329</c:v>
                </c:pt>
                <c:pt idx="33">
                  <c:v>83.333333333333329</c:v>
                </c:pt>
                <c:pt idx="34">
                  <c:v>83.333333333333329</c:v>
                </c:pt>
                <c:pt idx="35">
                  <c:v>83.333333333333329</c:v>
                </c:pt>
                <c:pt idx="36">
                  <c:v>125</c:v>
                </c:pt>
                <c:pt idx="37">
                  <c:v>125</c:v>
                </c:pt>
                <c:pt idx="38">
                  <c:v>125</c:v>
                </c:pt>
                <c:pt idx="39">
                  <c:v>125</c:v>
                </c:pt>
                <c:pt idx="40">
                  <c:v>125</c:v>
                </c:pt>
                <c:pt idx="41">
                  <c:v>125</c:v>
                </c:pt>
                <c:pt idx="42">
                  <c:v>125</c:v>
                </c:pt>
                <c:pt idx="43">
                  <c:v>125</c:v>
                </c:pt>
                <c:pt idx="44">
                  <c:v>125</c:v>
                </c:pt>
                <c:pt idx="45">
                  <c:v>125</c:v>
                </c:pt>
                <c:pt idx="46">
                  <c:v>125</c:v>
                </c:pt>
                <c:pt idx="47">
                  <c:v>125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8-4A2B-B3C3-0F112B593BD6}"/>
            </c:ext>
          </c:extLst>
        </c:ser>
        <c:ser>
          <c:idx val="1"/>
          <c:order val="1"/>
          <c:tx>
            <c:v>Jogo 2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Receita!$B$11:$BI$11</c:f>
              <c:numCache>
                <c:formatCode>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333.33333333333331</c:v>
                </c:pt>
                <c:pt idx="37">
                  <c:v>333.33333333333331</c:v>
                </c:pt>
                <c:pt idx="38">
                  <c:v>333.33333333333331</c:v>
                </c:pt>
                <c:pt idx="39">
                  <c:v>333.33333333333331</c:v>
                </c:pt>
                <c:pt idx="40">
                  <c:v>333.33333333333331</c:v>
                </c:pt>
                <c:pt idx="41">
                  <c:v>333.33333333333331</c:v>
                </c:pt>
                <c:pt idx="42">
                  <c:v>333.33333333333331</c:v>
                </c:pt>
                <c:pt idx="43">
                  <c:v>333.33333333333331</c:v>
                </c:pt>
                <c:pt idx="44">
                  <c:v>333.33333333333331</c:v>
                </c:pt>
                <c:pt idx="45">
                  <c:v>333.33333333333331</c:v>
                </c:pt>
                <c:pt idx="46">
                  <c:v>333.33333333333331</c:v>
                </c:pt>
                <c:pt idx="47">
                  <c:v>333.33333333333331</c:v>
                </c:pt>
                <c:pt idx="48">
                  <c:v>208.33333333333334</c:v>
                </c:pt>
                <c:pt idx="49">
                  <c:v>208.33333333333334</c:v>
                </c:pt>
                <c:pt idx="50">
                  <c:v>208.33333333333334</c:v>
                </c:pt>
                <c:pt idx="51">
                  <c:v>208.33333333333334</c:v>
                </c:pt>
                <c:pt idx="52">
                  <c:v>208.33333333333334</c:v>
                </c:pt>
                <c:pt idx="53">
                  <c:v>208.33333333333334</c:v>
                </c:pt>
                <c:pt idx="54">
                  <c:v>208.33333333333334</c:v>
                </c:pt>
                <c:pt idx="55">
                  <c:v>208.33333333333334</c:v>
                </c:pt>
                <c:pt idx="56">
                  <c:v>208.33333333333334</c:v>
                </c:pt>
                <c:pt idx="57">
                  <c:v>208.33333333333334</c:v>
                </c:pt>
                <c:pt idx="58">
                  <c:v>208.33333333333334</c:v>
                </c:pt>
                <c:pt idx="59">
                  <c:v>208.33333333333334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8-4A2B-B3C3-0F112B593BD6}"/>
            </c:ext>
          </c:extLst>
        </c:ser>
        <c:ser>
          <c:idx val="2"/>
          <c:order val="2"/>
          <c:tx>
            <c:v>Assinatura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Receita!$B$15:$BI$15</c:f>
              <c:numCache>
                <c:formatCode>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12.5</c:v>
                </c:pt>
                <c:pt idx="17">
                  <c:v>12.5</c:v>
                </c:pt>
                <c:pt idx="18">
                  <c:v>12.5</c:v>
                </c:pt>
                <c:pt idx="19">
                  <c:v>12.5</c:v>
                </c:pt>
                <c:pt idx="20">
                  <c:v>12.5</c:v>
                </c:pt>
                <c:pt idx="21">
                  <c:v>12.5</c:v>
                </c:pt>
                <c:pt idx="22">
                  <c:v>12.5</c:v>
                </c:pt>
                <c:pt idx="23">
                  <c:v>12.5</c:v>
                </c:pt>
                <c:pt idx="24">
                  <c:v>8.3333333333333339</c:v>
                </c:pt>
                <c:pt idx="25">
                  <c:v>8.3333333333333339</c:v>
                </c:pt>
                <c:pt idx="26">
                  <c:v>8.3333333333333339</c:v>
                </c:pt>
                <c:pt idx="27">
                  <c:v>8.3333333333333339</c:v>
                </c:pt>
                <c:pt idx="28">
                  <c:v>8.3333333333333339</c:v>
                </c:pt>
                <c:pt idx="29">
                  <c:v>8.3333333333333339</c:v>
                </c:pt>
                <c:pt idx="30">
                  <c:v>8.3333333333333339</c:v>
                </c:pt>
                <c:pt idx="31">
                  <c:v>8.3333333333333339</c:v>
                </c:pt>
                <c:pt idx="32">
                  <c:v>8.3333333333333339</c:v>
                </c:pt>
                <c:pt idx="33">
                  <c:v>8.3333333333333339</c:v>
                </c:pt>
                <c:pt idx="34">
                  <c:v>8.3333333333333339</c:v>
                </c:pt>
                <c:pt idx="35">
                  <c:v>8.3333333333333339</c:v>
                </c:pt>
                <c:pt idx="36">
                  <c:v>45.833333333333336</c:v>
                </c:pt>
                <c:pt idx="37">
                  <c:v>45.833333333333336</c:v>
                </c:pt>
                <c:pt idx="38">
                  <c:v>45.833333333333336</c:v>
                </c:pt>
                <c:pt idx="39">
                  <c:v>45.833333333333336</c:v>
                </c:pt>
                <c:pt idx="40">
                  <c:v>45.833333333333336</c:v>
                </c:pt>
                <c:pt idx="41">
                  <c:v>45.833333333333336</c:v>
                </c:pt>
                <c:pt idx="42">
                  <c:v>45.833333333333336</c:v>
                </c:pt>
                <c:pt idx="43">
                  <c:v>45.833333333333336</c:v>
                </c:pt>
                <c:pt idx="44">
                  <c:v>45.833333333333336</c:v>
                </c:pt>
                <c:pt idx="45">
                  <c:v>45.833333333333336</c:v>
                </c:pt>
                <c:pt idx="46">
                  <c:v>45.833333333333336</c:v>
                </c:pt>
                <c:pt idx="47">
                  <c:v>45.833333333333336</c:v>
                </c:pt>
                <c:pt idx="48">
                  <c:v>30.833333333333332</c:v>
                </c:pt>
                <c:pt idx="49">
                  <c:v>30.833333333333332</c:v>
                </c:pt>
                <c:pt idx="50">
                  <c:v>30.833333333333332</c:v>
                </c:pt>
                <c:pt idx="51">
                  <c:v>30.833333333333332</c:v>
                </c:pt>
                <c:pt idx="52">
                  <c:v>30.833333333333332</c:v>
                </c:pt>
                <c:pt idx="53">
                  <c:v>30.833333333333332</c:v>
                </c:pt>
                <c:pt idx="54">
                  <c:v>30.833333333333332</c:v>
                </c:pt>
                <c:pt idx="55">
                  <c:v>30.833333333333332</c:v>
                </c:pt>
                <c:pt idx="56">
                  <c:v>30.833333333333332</c:v>
                </c:pt>
                <c:pt idx="57">
                  <c:v>30.833333333333332</c:v>
                </c:pt>
                <c:pt idx="58">
                  <c:v>30.833333333333332</c:v>
                </c:pt>
                <c:pt idx="59">
                  <c:v>30.833333333333332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08-4A2B-B3C3-0F112B593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723194"/>
        <c:axId val="1203057495"/>
      </c:lineChart>
      <c:catAx>
        <c:axId val="614723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1" i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03057495"/>
        <c:crosses val="autoZero"/>
        <c:auto val="1"/>
        <c:lblAlgn val="ctr"/>
        <c:lblOffset val="100"/>
        <c:noMultiLvlLbl val="1"/>
      </c:catAx>
      <c:valAx>
        <c:axId val="1203057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1" i="0">
                    <a:solidFill>
                      <a:srgbClr val="000000"/>
                    </a:solidFill>
                    <a:latin typeface="+mn-lt"/>
                  </a:rPr>
                  <a:t>Qtde Itens Vendidos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147231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Vendas jogo 1, Vendas jogo 2 e Venda assinatura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Receita!$A$22</c:f>
              <c:strCache>
                <c:ptCount val="1"/>
                <c:pt idx="0">
                  <c:v>Vendas jogo 1</c:v>
                </c:pt>
              </c:strCache>
            </c:strRef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Receita!$B$21:$F$21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Receita!$B$22:$F$22</c:f>
              <c:numCache>
                <c:formatCode>_(* #,##0.00_);_(* \(#,##0.00\);_(* "-"??_);_(@_)</c:formatCode>
                <c:ptCount val="5"/>
                <c:pt idx="0">
                  <c:v>58500</c:v>
                </c:pt>
                <c:pt idx="1">
                  <c:v>94791.666666666672</c:v>
                </c:pt>
                <c:pt idx="2">
                  <c:v>67708.333333333314</c:v>
                </c:pt>
                <c:pt idx="3">
                  <c:v>97500</c:v>
                </c:pt>
                <c:pt idx="4">
                  <c:v>78000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23-48FA-AF3F-AFCEB4B4D169}"/>
            </c:ext>
          </c:extLst>
        </c:ser>
        <c:ser>
          <c:idx val="1"/>
          <c:order val="1"/>
          <c:tx>
            <c:strRef>
              <c:f>Receita!$A$23</c:f>
              <c:strCache>
                <c:ptCount val="1"/>
                <c:pt idx="0">
                  <c:v>Vendas Jogo 2</c:v>
                </c:pt>
              </c:strCache>
            </c:strRef>
          </c:tx>
          <c:spPr>
            <a:solidFill>
              <a:srgbClr val="99CCFF"/>
            </a:solidFill>
            <a:ln cmpd="sng">
              <a:solidFill>
                <a:srgbClr val="8064A2">
                  <a:alpha val="100000"/>
                </a:srgbClr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6023-48FA-AF3F-AFCEB4B4D169}"/>
              </c:ext>
            </c:extLst>
          </c:dPt>
          <c:cat>
            <c:strRef>
              <c:f>Receita!$B$21:$F$21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Receita!$B$23:$F$23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220000.00000000003</c:v>
                </c:pt>
                <c:pt idx="4">
                  <c:v>137499.99999999997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8064A2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023-48FA-AF3F-AFCEB4B4D169}"/>
            </c:ext>
          </c:extLst>
        </c:ser>
        <c:ser>
          <c:idx val="2"/>
          <c:order val="2"/>
          <c:tx>
            <c:strRef>
              <c:f>Receita!$A$24</c:f>
              <c:strCache>
                <c:ptCount val="1"/>
                <c:pt idx="0">
                  <c:v>Venda assinatura</c:v>
                </c:pt>
              </c:strCache>
            </c:strRef>
          </c:tx>
          <c:spPr>
            <a:solidFill>
              <a:srgbClr val="00008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Receita!$B$21:$F$21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Receita!$B$24:$F$24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11250</c:v>
                </c:pt>
                <c:pt idx="2">
                  <c:v>7500</c:v>
                </c:pt>
                <c:pt idx="3">
                  <c:v>41250</c:v>
                </c:pt>
                <c:pt idx="4">
                  <c:v>27750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023-48FA-AF3F-AFCEB4B4D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7300428"/>
        <c:axId val="1062478297"/>
        <c:axId val="0"/>
      </c:bar3DChart>
      <c:catAx>
        <c:axId val="1707300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RESULTADOS ANUAIS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62478297"/>
        <c:crosses val="autoZero"/>
        <c:auto val="1"/>
        <c:lblAlgn val="ctr"/>
        <c:lblOffset val="100"/>
        <c:noMultiLvlLbl val="1"/>
      </c:catAx>
      <c:valAx>
        <c:axId val="1062478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073004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9.8669583000132524E-2"/>
          <c:y val="0.16318796918637404"/>
          <c:w val="0.88913489400119405"/>
          <c:h val="0.79506696615221539"/>
        </c:manualLayout>
      </c:layout>
      <c:lineChart>
        <c:grouping val="standard"/>
        <c:varyColors val="0"/>
        <c:ser>
          <c:idx val="0"/>
          <c:order val="0"/>
          <c:tx>
            <c:v>Caixa Acumulado [R$]</c:v>
          </c:tx>
          <c:spPr>
            <a:ln w="1905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Resultados!$B$20:$BI$20</c:f>
              <c:numCache>
                <c:formatCode>_("R$ "* #,##0.00_);_("R$ "* \(#,##0.00\);_("R$ "* "-"??_);_(@_)</c:formatCode>
                <c:ptCount val="60"/>
                <c:pt idx="0">
                  <c:v>-12437.9375</c:v>
                </c:pt>
                <c:pt idx="1">
                  <c:v>-15315.875</c:v>
                </c:pt>
                <c:pt idx="2">
                  <c:v>-18193.8125</c:v>
                </c:pt>
                <c:pt idx="3">
                  <c:v>-21071.75</c:v>
                </c:pt>
                <c:pt idx="4">
                  <c:v>-23949.6875</c:v>
                </c:pt>
                <c:pt idx="5">
                  <c:v>-26827.625</c:v>
                </c:pt>
                <c:pt idx="6">
                  <c:v>-29705.5625</c:v>
                </c:pt>
                <c:pt idx="7">
                  <c:v>-32583.5</c:v>
                </c:pt>
                <c:pt idx="8">
                  <c:v>-35461.4375</c:v>
                </c:pt>
                <c:pt idx="9">
                  <c:v>-38339.375</c:v>
                </c:pt>
                <c:pt idx="10">
                  <c:v>-41217.3125</c:v>
                </c:pt>
                <c:pt idx="11">
                  <c:v>-44095.25</c:v>
                </c:pt>
                <c:pt idx="12">
                  <c:v>-47276.231249999997</c:v>
                </c:pt>
                <c:pt idx="13">
                  <c:v>-47098.678874999998</c:v>
                </c:pt>
                <c:pt idx="14">
                  <c:v>-46921.126499999998</c:v>
                </c:pt>
                <c:pt idx="15">
                  <c:v>-46743.574124999999</c:v>
                </c:pt>
                <c:pt idx="16">
                  <c:v>-46566.02175</c:v>
                </c:pt>
                <c:pt idx="17">
                  <c:v>-46388.469375000001</c:v>
                </c:pt>
                <c:pt idx="18">
                  <c:v>-46210.917000000001</c:v>
                </c:pt>
                <c:pt idx="19">
                  <c:v>-46033.364625000002</c:v>
                </c:pt>
                <c:pt idx="20">
                  <c:v>-45855.812250000003</c:v>
                </c:pt>
                <c:pt idx="21">
                  <c:v>-45678.259875000003</c:v>
                </c:pt>
                <c:pt idx="22">
                  <c:v>-45500.707500000004</c:v>
                </c:pt>
                <c:pt idx="23">
                  <c:v>-47516.167916666673</c:v>
                </c:pt>
                <c:pt idx="24">
                  <c:v>-53653.534083333339</c:v>
                </c:pt>
                <c:pt idx="25">
                  <c:v>-56340.900250000006</c:v>
                </c:pt>
                <c:pt idx="26">
                  <c:v>-59028.266416666673</c:v>
                </c:pt>
                <c:pt idx="27">
                  <c:v>-61715.632583333339</c:v>
                </c:pt>
                <c:pt idx="28">
                  <c:v>-64402.998750000006</c:v>
                </c:pt>
                <c:pt idx="29">
                  <c:v>-67090.364916666673</c:v>
                </c:pt>
                <c:pt idx="30">
                  <c:v>-69777.731083333347</c:v>
                </c:pt>
                <c:pt idx="31">
                  <c:v>-72465.097250000021</c:v>
                </c:pt>
                <c:pt idx="32">
                  <c:v>-75152.463416666695</c:v>
                </c:pt>
                <c:pt idx="33">
                  <c:v>-77839.829583333369</c:v>
                </c:pt>
                <c:pt idx="34">
                  <c:v>-80527.195750000043</c:v>
                </c:pt>
                <c:pt idx="35">
                  <c:v>-83177.282750000042</c:v>
                </c:pt>
                <c:pt idx="36">
                  <c:v>-77825.487490200045</c:v>
                </c:pt>
                <c:pt idx="37">
                  <c:v>-68381.692230400047</c:v>
                </c:pt>
                <c:pt idx="38">
                  <c:v>-58937.89697060005</c:v>
                </c:pt>
                <c:pt idx="39">
                  <c:v>-49494.101710800052</c:v>
                </c:pt>
                <c:pt idx="40">
                  <c:v>-40050.306451000055</c:v>
                </c:pt>
                <c:pt idx="41">
                  <c:v>-30606.511191200058</c:v>
                </c:pt>
                <c:pt idx="42">
                  <c:v>-21162.71593140006</c:v>
                </c:pt>
                <c:pt idx="43">
                  <c:v>-11718.920671600063</c:v>
                </c:pt>
                <c:pt idx="44">
                  <c:v>-2275.1254118000652</c:v>
                </c:pt>
                <c:pt idx="45">
                  <c:v>7168.6698479999322</c:v>
                </c:pt>
                <c:pt idx="46">
                  <c:v>16612.46510779993</c:v>
                </c:pt>
                <c:pt idx="47">
                  <c:v>23938.350457791927</c:v>
                </c:pt>
                <c:pt idx="48">
                  <c:v>19334.588451258591</c:v>
                </c:pt>
                <c:pt idx="49">
                  <c:v>21147.105526946591</c:v>
                </c:pt>
                <c:pt idx="50">
                  <c:v>22959.62260263459</c:v>
                </c:pt>
                <c:pt idx="51">
                  <c:v>24772.13967832259</c:v>
                </c:pt>
                <c:pt idx="52">
                  <c:v>26584.65675401059</c:v>
                </c:pt>
                <c:pt idx="53">
                  <c:v>28397.17382969859</c:v>
                </c:pt>
                <c:pt idx="54">
                  <c:v>30209.690905386589</c:v>
                </c:pt>
                <c:pt idx="55">
                  <c:v>32022.207981074589</c:v>
                </c:pt>
                <c:pt idx="56">
                  <c:v>33834.725056762589</c:v>
                </c:pt>
                <c:pt idx="57">
                  <c:v>35647.242132450585</c:v>
                </c:pt>
                <c:pt idx="58">
                  <c:v>37459.759208138581</c:v>
                </c:pt>
                <c:pt idx="59">
                  <c:v>39272.276283826577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3-42E2-B125-98C2FA188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248146"/>
        <c:axId val="1045501605"/>
      </c:lineChart>
      <c:catAx>
        <c:axId val="801248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500" b="1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45501605"/>
        <c:crosses val="autoZero"/>
        <c:auto val="1"/>
        <c:lblAlgn val="ctr"/>
        <c:lblOffset val="100"/>
        <c:noMultiLvlLbl val="1"/>
      </c:catAx>
      <c:valAx>
        <c:axId val="1045501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500" b="1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0124814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Calibri"/>
              </a:defRPr>
            </a:pPr>
            <a:r>
              <a:rPr lang="pt-BR" sz="1600" b="1" i="0">
                <a:solidFill>
                  <a:srgbClr val="000000"/>
                </a:solidFill>
                <a:latin typeface="Calibri"/>
              </a:rPr>
              <a:t>Resultados
Receita Bruta x Resultado Líquido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196899739945292"/>
          <c:y val="0.10807887829810747"/>
          <c:w val="0.87883944212425713"/>
          <c:h val="0.87692996270203072"/>
        </c:manualLayout>
      </c:layout>
      <c:barChart>
        <c:barDir val="col"/>
        <c:grouping val="clustered"/>
        <c:varyColors val="1"/>
        <c:ser>
          <c:idx val="0"/>
          <c:order val="0"/>
          <c:tx>
            <c:v>Receita total bruta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Resultados!$B$22:$F$22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Resultados!$B$26:$F$26</c:f>
              <c:numCache>
                <c:formatCode>_("R$ "* #,##0.00_);_("R$ "* \(#,##0.00\);_("R$ "* "-"??_);_(@_)</c:formatCode>
                <c:ptCount val="5"/>
                <c:pt idx="0">
                  <c:v>58500</c:v>
                </c:pt>
                <c:pt idx="1">
                  <c:v>106041.66666666667</c:v>
                </c:pt>
                <c:pt idx="2">
                  <c:v>75208.333333333314</c:v>
                </c:pt>
                <c:pt idx="3">
                  <c:v>358749.99999999994</c:v>
                </c:pt>
                <c:pt idx="4">
                  <c:v>243249.99999999997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D5-4F97-9C85-AA18EAC417AA}"/>
            </c:ext>
          </c:extLst>
        </c:ser>
        <c:ser>
          <c:idx val="1"/>
          <c:order val="1"/>
          <c:tx>
            <c:v>Lucro Anual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dLbls>
            <c:dLbl>
              <c:idx val="1"/>
              <c:layout>
                <c:manualLayout>
                  <c:x val="3.2588259870482555E-2"/>
                  <c:y val="-3.508633789197402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D5-4F97-9C85-AA18EAC417AA}"/>
                </c:ext>
              </c:extLst>
            </c:dLbl>
            <c:dLbl>
              <c:idx val="3"/>
              <c:layout>
                <c:manualLayout>
                  <c:x val="1.5040735324838104E-2"/>
                  <c:y val="5.26315789473671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D5-4F97-9C85-AA18EAC417AA}"/>
                </c:ext>
              </c:extLst>
            </c:dLbl>
            <c:dLbl>
              <c:idx val="4"/>
              <c:layout>
                <c:manualLayout>
                  <c:x val="1.2533946104031629E-2"/>
                  <c:y val="-1.2865348454420203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D5-4F97-9C85-AA18EAC417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Resultados!$B$22:$F$22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Resultados!$B$36:$F$36</c:f>
              <c:numCache>
                <c:formatCode>_("R$ "* #,##0.00_);_("R$ "* \(#,##0.00\);_("R$ "* "-"??_);_(@_)</c:formatCode>
                <c:ptCount val="5"/>
                <c:pt idx="0">
                  <c:v>-44095.25</c:v>
                </c:pt>
                <c:pt idx="1">
                  <c:v>-3420.9179166666654</c:v>
                </c:pt>
                <c:pt idx="2">
                  <c:v>-35661.11483333334</c:v>
                </c:pt>
                <c:pt idx="3">
                  <c:v>107115.63320779197</c:v>
                </c:pt>
                <c:pt idx="4">
                  <c:v>15333.925826034643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BD5-4F97-9C85-AA18EAC41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408120"/>
        <c:axId val="2008509769"/>
      </c:barChart>
      <c:catAx>
        <c:axId val="954408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008509769"/>
        <c:crosses val="autoZero"/>
        <c:auto val="1"/>
        <c:lblAlgn val="ctr"/>
        <c:lblOffset val="100"/>
        <c:noMultiLvlLbl val="1"/>
      </c:catAx>
      <c:valAx>
        <c:axId val="2008509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(&quot;R$ &quot;* #,##0.00_);_(&quot;R$ &quot;* \(#,##0.00\);_(&quot;R$ 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5440812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 i="0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25</xdr:row>
      <xdr:rowOff>66675</xdr:rowOff>
    </xdr:from>
    <xdr:ext cx="13258800" cy="6057900"/>
    <xdr:graphicFrame macro="">
      <xdr:nvGraphicFramePr>
        <xdr:cNvPr id="1196196448" name="Chart 1" title="Gráfico">
          <a:extLst>
            <a:ext uri="{FF2B5EF4-FFF2-40B4-BE49-F238E27FC236}">
              <a16:creationId xmlns:a16="http://schemas.microsoft.com/office/drawing/2014/main" id="{00000000-0008-0000-0100-000060824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1819275</xdr:colOff>
      <xdr:row>26</xdr:row>
      <xdr:rowOff>180975</xdr:rowOff>
    </xdr:from>
    <xdr:ext cx="6486525" cy="3752850"/>
    <xdr:graphicFrame macro="">
      <xdr:nvGraphicFramePr>
        <xdr:cNvPr id="1944008711" name="Chart 2" title="Gráfico">
          <a:extLst>
            <a:ext uri="{FF2B5EF4-FFF2-40B4-BE49-F238E27FC236}">
              <a16:creationId xmlns:a16="http://schemas.microsoft.com/office/drawing/2014/main" id="{00000000-0008-0000-0100-00000738D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152400</xdr:rowOff>
    </xdr:from>
    <xdr:ext cx="12839700" cy="7762875"/>
    <xdr:graphicFrame macro="">
      <xdr:nvGraphicFramePr>
        <xdr:cNvPr id="1478169837" name="Chart 3" title="Gráfico">
          <a:extLst>
            <a:ext uri="{FF2B5EF4-FFF2-40B4-BE49-F238E27FC236}">
              <a16:creationId xmlns:a16="http://schemas.microsoft.com/office/drawing/2014/main" id="{00000000-0008-0000-0600-0000ED141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247650</xdr:colOff>
      <xdr:row>20</xdr:row>
      <xdr:rowOff>142875</xdr:rowOff>
    </xdr:from>
    <xdr:ext cx="15198725" cy="7239000"/>
    <xdr:graphicFrame macro="">
      <xdr:nvGraphicFramePr>
        <xdr:cNvPr id="1555053715" name="Chart 4" title="Gráfico">
          <a:extLst>
            <a:ext uri="{FF2B5EF4-FFF2-40B4-BE49-F238E27FC236}">
              <a16:creationId xmlns:a16="http://schemas.microsoft.com/office/drawing/2014/main" id="{00000000-0008-0000-0600-0000933CB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20" workbookViewId="0">
      <selection activeCell="I28" sqref="I28"/>
    </sheetView>
  </sheetViews>
  <sheetFormatPr defaultColWidth="14.42578125" defaultRowHeight="15" customHeight="1"/>
  <cols>
    <col min="1" max="1" width="51.7109375" customWidth="1"/>
    <col min="2" max="4" width="15.5703125" customWidth="1"/>
    <col min="5" max="5" width="15.42578125" customWidth="1"/>
    <col min="6" max="6" width="16.42578125" customWidth="1"/>
    <col min="7" max="7" width="12.28515625" customWidth="1"/>
    <col min="8" max="26" width="8.85546875" customWidth="1"/>
  </cols>
  <sheetData>
    <row r="1" spans="1:26" ht="18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tr">
        <f>CONCATENATE(Company, ": ",start, " -  ",end)</f>
        <v>Histyle: Mês 1 -  Mês 60</v>
      </c>
      <c r="B2" s="7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/>
      <c r="B3" s="8"/>
      <c r="C3" s="9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8.5" customHeight="1">
      <c r="A4" s="213" t="s">
        <v>1</v>
      </c>
      <c r="B4" s="214"/>
      <c r="C4" s="214"/>
      <c r="D4" s="214"/>
      <c r="E4" s="21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10"/>
      <c r="B5" s="4"/>
      <c r="C5" s="1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>
      <c r="A6" s="12" t="s">
        <v>2</v>
      </c>
      <c r="B6" s="13"/>
      <c r="C6" s="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15" t="s">
        <v>3</v>
      </c>
      <c r="B7" s="16" t="s">
        <v>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>
      <c r="A8" s="18" t="s">
        <v>5</v>
      </c>
      <c r="B8" s="19" t="s">
        <v>6</v>
      </c>
      <c r="C8" s="17" t="s">
        <v>7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>
      <c r="A9" s="18" t="s">
        <v>8</v>
      </c>
      <c r="B9" s="19" t="s">
        <v>9</v>
      </c>
      <c r="C9" s="17" t="s">
        <v>7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>
      <c r="A10" s="18" t="s">
        <v>10</v>
      </c>
      <c r="B10" s="19" t="s">
        <v>11</v>
      </c>
      <c r="C10" s="17" t="s">
        <v>7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>
      <c r="A11" s="18" t="s">
        <v>12</v>
      </c>
      <c r="B11" s="19" t="s">
        <v>13</v>
      </c>
      <c r="C11" s="17" t="s">
        <v>7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>
      <c r="A12" s="20"/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>
      <c r="A13" s="22"/>
      <c r="B13" s="23"/>
      <c r="C13" s="4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>
      <c r="A14" s="24" t="s">
        <v>14</v>
      </c>
      <c r="B14" s="25"/>
      <c r="C14" s="26"/>
    </row>
    <row r="15" spans="1:26">
      <c r="A15" s="27" t="s">
        <v>15</v>
      </c>
      <c r="B15" s="28">
        <v>0.13250000000000001</v>
      </c>
      <c r="C15" s="17" t="s">
        <v>7</v>
      </c>
    </row>
    <row r="16" spans="1:26">
      <c r="A16" s="29" t="s">
        <v>16</v>
      </c>
      <c r="B16" s="30">
        <v>0.12</v>
      </c>
      <c r="C16" s="17" t="s">
        <v>7</v>
      </c>
    </row>
    <row r="17" spans="1:26">
      <c r="A17" s="29" t="s">
        <v>17</v>
      </c>
      <c r="B17" s="31">
        <v>3.6499999999999998E-2</v>
      </c>
      <c r="C17" s="17" t="s">
        <v>7</v>
      </c>
    </row>
    <row r="18" spans="1:26">
      <c r="A18" s="29" t="s">
        <v>18</v>
      </c>
      <c r="B18" s="31">
        <f>ISS+B17</f>
        <v>0.1565</v>
      </c>
      <c r="C18" s="17" t="s">
        <v>7</v>
      </c>
    </row>
    <row r="19" spans="1:26">
      <c r="A19" s="29" t="s">
        <v>19</v>
      </c>
      <c r="B19" s="31">
        <v>0.25</v>
      </c>
      <c r="C19" s="17" t="s">
        <v>7</v>
      </c>
    </row>
    <row r="20" spans="1:26">
      <c r="A20" s="29" t="s">
        <v>20</v>
      </c>
      <c r="B20" s="31">
        <v>0.09</v>
      </c>
      <c r="C20" s="17" t="s">
        <v>7</v>
      </c>
    </row>
    <row r="21" spans="1:26" ht="15.75" customHeight="1"/>
    <row r="22" spans="1:26" ht="15.75" customHeight="1">
      <c r="A22" s="32" t="s">
        <v>21</v>
      </c>
      <c r="B22" s="33" t="s">
        <v>22</v>
      </c>
      <c r="C22" s="33" t="s">
        <v>23</v>
      </c>
      <c r="D22" s="33" t="s">
        <v>24</v>
      </c>
      <c r="E22" s="33" t="s">
        <v>25</v>
      </c>
      <c r="F22" s="34" t="s">
        <v>26</v>
      </c>
      <c r="G22" s="35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customHeight="1">
      <c r="A23" s="37" t="s">
        <v>27</v>
      </c>
      <c r="B23" s="38"/>
      <c r="C23" s="38">
        <f t="shared" ref="C23:F23" si="0">0.1*(C25+C27)</f>
        <v>150</v>
      </c>
      <c r="D23" s="38">
        <f t="shared" si="0"/>
        <v>100</v>
      </c>
      <c r="E23" s="38">
        <f t="shared" si="0"/>
        <v>550</v>
      </c>
      <c r="F23" s="38">
        <f t="shared" si="0"/>
        <v>370</v>
      </c>
      <c r="G23" s="39"/>
    </row>
    <row r="24" spans="1:26" ht="15.75" customHeight="1">
      <c r="A24" s="40" t="s">
        <v>28</v>
      </c>
      <c r="B24" s="41">
        <v>75</v>
      </c>
      <c r="C24" s="41">
        <v>75</v>
      </c>
      <c r="D24" s="41">
        <v>75</v>
      </c>
      <c r="E24" s="41">
        <v>75</v>
      </c>
      <c r="F24" s="41">
        <v>75</v>
      </c>
      <c r="G24" s="39"/>
    </row>
    <row r="25" spans="1:26" ht="15.75" customHeight="1">
      <c r="A25" s="37" t="s">
        <v>29</v>
      </c>
      <c r="B25" s="38">
        <v>900</v>
      </c>
      <c r="C25" s="38">
        <v>1500</v>
      </c>
      <c r="D25" s="38">
        <v>1000</v>
      </c>
      <c r="E25" s="38">
        <v>1500</v>
      </c>
      <c r="F25" s="38">
        <v>1200</v>
      </c>
      <c r="G25" s="42"/>
    </row>
    <row r="26" spans="1:26" ht="15.75" customHeight="1">
      <c r="A26" s="40" t="s">
        <v>30</v>
      </c>
      <c r="B26" s="41">
        <v>65</v>
      </c>
      <c r="C26" s="41">
        <v>65</v>
      </c>
      <c r="D26" s="41">
        <v>65</v>
      </c>
      <c r="E26" s="41">
        <v>65</v>
      </c>
      <c r="F26" s="41">
        <v>65</v>
      </c>
    </row>
    <row r="27" spans="1:26" ht="15.75" customHeight="1">
      <c r="A27" s="40" t="s">
        <v>31</v>
      </c>
      <c r="B27" s="43">
        <v>0</v>
      </c>
      <c r="C27" s="44">
        <f>(B27*1.05)*1.5</f>
        <v>0</v>
      </c>
      <c r="D27" s="44">
        <f>C27*1.05*1.33333</f>
        <v>0</v>
      </c>
      <c r="E27" s="44">
        <v>4000</v>
      </c>
      <c r="F27" s="44">
        <v>2500</v>
      </c>
    </row>
    <row r="28" spans="1:26" ht="15.75" customHeight="1">
      <c r="A28" s="40" t="s">
        <v>32</v>
      </c>
      <c r="B28" s="41">
        <v>55</v>
      </c>
      <c r="C28" s="41">
        <v>55</v>
      </c>
      <c r="D28" s="41">
        <v>55</v>
      </c>
      <c r="E28" s="41">
        <v>55</v>
      </c>
      <c r="F28" s="41">
        <v>55</v>
      </c>
    </row>
    <row r="29" spans="1:26" ht="15.75" customHeight="1">
      <c r="A29" s="40" t="s">
        <v>33</v>
      </c>
      <c r="B29" s="44">
        <f>assinatura/12</f>
        <v>75</v>
      </c>
      <c r="C29" s="44">
        <f t="shared" ref="C29:F29" si="1">C25/12</f>
        <v>125</v>
      </c>
      <c r="D29" s="44">
        <f t="shared" si="1"/>
        <v>83.333333333333329</v>
      </c>
      <c r="E29" s="44">
        <f t="shared" si="1"/>
        <v>125</v>
      </c>
      <c r="F29" s="44">
        <f t="shared" si="1"/>
        <v>100</v>
      </c>
    </row>
    <row r="30" spans="1:26" ht="15.75" customHeight="1">
      <c r="A30" s="40" t="s">
        <v>34</v>
      </c>
      <c r="B30" s="44">
        <f t="shared" ref="B30:F30" si="2">B27/12</f>
        <v>0</v>
      </c>
      <c r="C30" s="44">
        <f t="shared" si="2"/>
        <v>0</v>
      </c>
      <c r="D30" s="44">
        <f t="shared" si="2"/>
        <v>0</v>
      </c>
      <c r="E30" s="44">
        <f t="shared" si="2"/>
        <v>333.33333333333331</v>
      </c>
      <c r="F30" s="44">
        <f t="shared" si="2"/>
        <v>208.33333333333334</v>
      </c>
    </row>
    <row r="31" spans="1:26" ht="15.75" customHeight="1">
      <c r="A31" s="40" t="s">
        <v>35</v>
      </c>
      <c r="B31" s="44">
        <f t="shared" ref="B31:F31" si="3">B23/12</f>
        <v>0</v>
      </c>
      <c r="C31" s="44">
        <f t="shared" si="3"/>
        <v>12.5</v>
      </c>
      <c r="D31" s="44">
        <f t="shared" si="3"/>
        <v>8.3333333333333339</v>
      </c>
      <c r="E31" s="44">
        <f t="shared" si="3"/>
        <v>45.833333333333336</v>
      </c>
      <c r="F31" s="44">
        <f t="shared" si="3"/>
        <v>30.833333333333332</v>
      </c>
      <c r="G31" s="45"/>
    </row>
    <row r="32" spans="1:26" ht="15.75" customHeight="1">
      <c r="A32" s="40" t="s">
        <v>36</v>
      </c>
      <c r="B32" s="44">
        <f>(assinatura+(B27)+B23)/12</f>
        <v>75</v>
      </c>
      <c r="C32" s="44">
        <f>(assinatura+(C27)+C23)/12</f>
        <v>87.5</v>
      </c>
      <c r="D32" s="44">
        <f>(assinatura+(D27)+D23)/12</f>
        <v>83.333333333333329</v>
      </c>
      <c r="E32" s="44">
        <f>(assinatura+(E27)+E23)/12</f>
        <v>454.16666666666669</v>
      </c>
      <c r="F32" s="44">
        <f>(assinatura+(F27)+F23)/12</f>
        <v>314.16666666666669</v>
      </c>
      <c r="G32" s="46"/>
    </row>
    <row r="33" spans="1:7" ht="15.75" customHeight="1">
      <c r="A33" s="40" t="s">
        <v>37</v>
      </c>
      <c r="B33" s="47">
        <f t="shared" ref="B33:F33" si="4">B23*B24</f>
        <v>0</v>
      </c>
      <c r="C33" s="47">
        <f t="shared" si="4"/>
        <v>11250</v>
      </c>
      <c r="D33" s="47">
        <f t="shared" si="4"/>
        <v>7500</v>
      </c>
      <c r="E33" s="47">
        <f t="shared" si="4"/>
        <v>41250</v>
      </c>
      <c r="F33" s="47">
        <f t="shared" si="4"/>
        <v>27750</v>
      </c>
    </row>
    <row r="34" spans="1:7" ht="15.75" customHeight="1">
      <c r="A34" s="48" t="s">
        <v>38</v>
      </c>
      <c r="B34" s="41">
        <f>assinatura*B26</f>
        <v>58500</v>
      </c>
      <c r="C34" s="41">
        <f>assinatura*C26</f>
        <v>58500</v>
      </c>
      <c r="D34" s="41">
        <f>assinatura*D26</f>
        <v>58500</v>
      </c>
      <c r="E34" s="41">
        <f>assinatura*E26</f>
        <v>58500</v>
      </c>
      <c r="F34" s="41">
        <f>assinatura*F26</f>
        <v>58500</v>
      </c>
      <c r="G34" s="39"/>
    </row>
    <row r="35" spans="1:7" ht="15.75" customHeight="1">
      <c r="A35" s="48" t="s">
        <v>39</v>
      </c>
      <c r="B35" s="41">
        <f t="shared" ref="B35:F35" si="5">B28*B27</f>
        <v>0</v>
      </c>
      <c r="C35" s="41">
        <f t="shared" si="5"/>
        <v>0</v>
      </c>
      <c r="D35" s="41">
        <f t="shared" si="5"/>
        <v>0</v>
      </c>
      <c r="E35" s="41">
        <f t="shared" si="5"/>
        <v>220000</v>
      </c>
      <c r="F35" s="41">
        <f t="shared" si="5"/>
        <v>137500</v>
      </c>
    </row>
    <row r="36" spans="1:7" ht="15.75" customHeight="1">
      <c r="A36" s="49" t="s">
        <v>40</v>
      </c>
      <c r="B36" s="50">
        <f t="shared" ref="B36:F36" si="6">SUM(B33:B35)</f>
        <v>58500</v>
      </c>
      <c r="C36" s="50">
        <f t="shared" si="6"/>
        <v>69750</v>
      </c>
      <c r="D36" s="50">
        <f t="shared" si="6"/>
        <v>66000</v>
      </c>
      <c r="E36" s="50">
        <f t="shared" si="6"/>
        <v>319750</v>
      </c>
      <c r="F36" s="50">
        <f t="shared" si="6"/>
        <v>223750</v>
      </c>
    </row>
    <row r="37" spans="1:7" ht="15.75" customHeight="1">
      <c r="B37" s="51"/>
    </row>
    <row r="38" spans="1:7" ht="15.75" customHeight="1"/>
    <row r="39" spans="1:7" ht="15.75" customHeight="1"/>
    <row r="40" spans="1:7" ht="15.75" customHeight="1">
      <c r="C40" s="51"/>
    </row>
    <row r="41" spans="1:7" ht="15.75" customHeight="1">
      <c r="C41" s="51"/>
    </row>
    <row r="42" spans="1:7" ht="15.75" customHeight="1">
      <c r="C42" s="51"/>
    </row>
    <row r="43" spans="1:7" ht="15.75" customHeight="1">
      <c r="A43" s="36"/>
      <c r="B43" s="36"/>
      <c r="C43" s="52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ageMargins left="0.70866141732283472" right="0.70866141732283472" top="0.74803149606299213" bottom="0.74803149606299213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000"/>
  <sheetViews>
    <sheetView tabSelected="1" topLeftCell="A26" zoomScale="91" zoomScaleNormal="91" workbookViewId="0">
      <selection activeCell="F44" sqref="F44"/>
    </sheetView>
  </sheetViews>
  <sheetFormatPr defaultColWidth="14.42578125" defaultRowHeight="15" customHeight="1"/>
  <cols>
    <col min="1" max="1" width="52.5703125" customWidth="1"/>
    <col min="2" max="81" width="20.7109375" customWidth="1"/>
  </cols>
  <sheetData>
    <row r="1" spans="1:81" ht="18">
      <c r="A1" s="53" t="s">
        <v>41</v>
      </c>
    </row>
    <row r="2" spans="1:81">
      <c r="A2" s="6" t="str">
        <f>CONCATENATE(Company, ": ",start, " -  ",end)</f>
        <v>Histyle: Mês 1 -  Mês 60</v>
      </c>
    </row>
    <row r="3" spans="1:81">
      <c r="A3" s="16" t="s">
        <v>42</v>
      </c>
      <c r="B3" s="39">
        <f>((assinatura/12))*0.2</f>
        <v>15</v>
      </c>
      <c r="C3" s="39">
        <f>((assinatura/12))*0.25</f>
        <v>18.75</v>
      </c>
      <c r="D3" s="39">
        <f>((assinatura/12))*0.3</f>
        <v>22.5</v>
      </c>
      <c r="E3" s="39">
        <f>((assinatura/12))*0.35</f>
        <v>26.25</v>
      </c>
      <c r="F3" s="39">
        <f>((assinatura/12))*0.4</f>
        <v>30</v>
      </c>
      <c r="G3" s="39">
        <f>((assinatura/12))*0.5</f>
        <v>37.5</v>
      </c>
      <c r="H3" s="39">
        <f>((assinatura/12))*0.6</f>
        <v>45</v>
      </c>
      <c r="I3" s="39">
        <f>((assinatura/12))*0.7</f>
        <v>52.5</v>
      </c>
      <c r="J3" s="39">
        <f>((assinatura/12))*0.8</f>
        <v>60</v>
      </c>
      <c r="K3" s="39">
        <f>((assinatura/12))*0.9</f>
        <v>67.5</v>
      </c>
      <c r="L3" s="39">
        <f>((assinatura/12))</f>
        <v>75</v>
      </c>
      <c r="M3" s="39">
        <f>((assinatura/12))</f>
        <v>75</v>
      </c>
      <c r="N3" s="39">
        <f>(Premissas!C25/12)</f>
        <v>125</v>
      </c>
      <c r="O3" s="39">
        <f>(Premissas!C25/12)</f>
        <v>125</v>
      </c>
      <c r="P3" s="39">
        <f>(Premissas!C25/12)</f>
        <v>125</v>
      </c>
      <c r="Q3" s="39">
        <f>(Premissas!C25/12)</f>
        <v>125</v>
      </c>
      <c r="R3" s="39">
        <f>(Premissas!C25/12)</f>
        <v>125</v>
      </c>
      <c r="S3" s="39">
        <f>(Premissas!C25/12)</f>
        <v>125</v>
      </c>
      <c r="T3" s="39">
        <f>(Premissas!C25/12)</f>
        <v>125</v>
      </c>
      <c r="U3" s="39">
        <f>(Premissas!C25/12)</f>
        <v>125</v>
      </c>
      <c r="V3" s="39">
        <f>(Premissas!C25/12)</f>
        <v>125</v>
      </c>
      <c r="W3" s="39">
        <f>(Premissas!C25/12)</f>
        <v>125</v>
      </c>
      <c r="X3" s="39">
        <f>(Premissas!C25/12)</f>
        <v>125</v>
      </c>
      <c r="Y3" s="39">
        <f>(Premissas!C25/12)</f>
        <v>125</v>
      </c>
      <c r="Z3" s="39">
        <f>(Premissas!D25/12)</f>
        <v>83.333333333333329</v>
      </c>
      <c r="AA3" s="39">
        <f>(Premissas!D25/12)</f>
        <v>83.333333333333329</v>
      </c>
      <c r="AB3" s="39">
        <f>(Premissas!D25/12)</f>
        <v>83.333333333333329</v>
      </c>
      <c r="AC3" s="39">
        <f>(Premissas!D25/12)</f>
        <v>83.333333333333329</v>
      </c>
      <c r="AD3" s="39">
        <f>(Premissas!D25/12)</f>
        <v>83.333333333333329</v>
      </c>
      <c r="AE3" s="39">
        <f>(Premissas!D25/12)</f>
        <v>83.333333333333329</v>
      </c>
      <c r="AF3" s="39">
        <f>(Premissas!D25/12)</f>
        <v>83.333333333333329</v>
      </c>
      <c r="AG3" s="39">
        <f>(Premissas!D25/12)</f>
        <v>83.333333333333329</v>
      </c>
      <c r="AH3" s="39">
        <f>(Premissas!D25/12)</f>
        <v>83.333333333333329</v>
      </c>
      <c r="AI3" s="39">
        <f>(Premissas!D25/12)</f>
        <v>83.333333333333329</v>
      </c>
      <c r="AJ3" s="39">
        <f>(Premissas!D25/12)</f>
        <v>83.333333333333329</v>
      </c>
      <c r="AK3" s="39">
        <f>(Premissas!D25/12)</f>
        <v>83.333333333333329</v>
      </c>
      <c r="AL3" s="39">
        <f>(Premissas!E25/12)</f>
        <v>125</v>
      </c>
      <c r="AM3" s="39">
        <f>(Premissas!E25/12)</f>
        <v>125</v>
      </c>
      <c r="AN3" s="39">
        <f>(Premissas!E25/12)</f>
        <v>125</v>
      </c>
      <c r="AO3" s="39">
        <f>(Premissas!E25/12)</f>
        <v>125</v>
      </c>
      <c r="AP3" s="39">
        <f>(Premissas!E25/12)</f>
        <v>125</v>
      </c>
      <c r="AQ3" s="39">
        <f>(Premissas!E25/12)</f>
        <v>125</v>
      </c>
      <c r="AR3" s="39">
        <f>(Premissas!E25/12)</f>
        <v>125</v>
      </c>
      <c r="AS3" s="39">
        <f>(Premissas!E25/12)</f>
        <v>125</v>
      </c>
      <c r="AT3" s="39">
        <f>(Premissas!E25/12)</f>
        <v>125</v>
      </c>
      <c r="AU3" s="39">
        <f>(Premissas!E25/12)</f>
        <v>125</v>
      </c>
      <c r="AV3" s="39">
        <f>(Premissas!E25/12)</f>
        <v>125</v>
      </c>
      <c r="AW3" s="39">
        <f>(Premissas!E25/12)</f>
        <v>125</v>
      </c>
      <c r="AX3" s="39">
        <f>(Premissas!F25/12)</f>
        <v>100</v>
      </c>
      <c r="AY3" s="39">
        <f>(Premissas!F25/12)</f>
        <v>100</v>
      </c>
      <c r="AZ3" s="39">
        <f>(Premissas!F25/12)</f>
        <v>100</v>
      </c>
      <c r="BA3" s="39">
        <f>(Premissas!F25/12)</f>
        <v>100</v>
      </c>
      <c r="BB3" s="39">
        <f>(Premissas!F25/12)</f>
        <v>100</v>
      </c>
      <c r="BC3" s="39">
        <f>(Premissas!F25/12)</f>
        <v>100</v>
      </c>
      <c r="BD3" s="39">
        <f>(Premissas!F25/12)</f>
        <v>100</v>
      </c>
      <c r="BE3" s="39">
        <f>(Premissas!F25/12)</f>
        <v>100</v>
      </c>
      <c r="BF3" s="39">
        <f>(Premissas!F25/12)</f>
        <v>100</v>
      </c>
      <c r="BG3" s="39">
        <f>(Premissas!F25/12)</f>
        <v>100</v>
      </c>
      <c r="BH3" s="39">
        <f>(Premissas!F25/12)</f>
        <v>100</v>
      </c>
      <c r="BI3" s="39">
        <f>(Premissas!F25/12)</f>
        <v>100</v>
      </c>
    </row>
    <row r="4" spans="1:81" ht="15.75">
      <c r="A4" s="54" t="s">
        <v>43</v>
      </c>
      <c r="B4" s="55">
        <v>1</v>
      </c>
      <c r="C4" s="56">
        <v>2</v>
      </c>
      <c r="D4" s="55">
        <v>3</v>
      </c>
      <c r="E4" s="55">
        <v>4</v>
      </c>
      <c r="F4" s="56">
        <v>5</v>
      </c>
      <c r="G4" s="55">
        <v>6</v>
      </c>
      <c r="H4" s="55">
        <v>7</v>
      </c>
      <c r="I4" s="56">
        <v>8</v>
      </c>
      <c r="J4" s="55">
        <v>9</v>
      </c>
      <c r="K4" s="55">
        <v>10</v>
      </c>
      <c r="L4" s="56">
        <v>11</v>
      </c>
      <c r="M4" s="55">
        <v>12</v>
      </c>
      <c r="N4" s="55">
        <v>13</v>
      </c>
      <c r="O4" s="56">
        <v>14</v>
      </c>
      <c r="P4" s="55">
        <v>15</v>
      </c>
      <c r="Q4" s="55">
        <v>16</v>
      </c>
      <c r="R4" s="56">
        <v>17</v>
      </c>
      <c r="S4" s="55">
        <v>18</v>
      </c>
      <c r="T4" s="55">
        <v>19</v>
      </c>
      <c r="U4" s="56">
        <v>20</v>
      </c>
      <c r="V4" s="55">
        <v>21</v>
      </c>
      <c r="W4" s="55">
        <v>22</v>
      </c>
      <c r="X4" s="56">
        <v>23</v>
      </c>
      <c r="Y4" s="55">
        <v>24</v>
      </c>
      <c r="Z4" s="55">
        <v>25</v>
      </c>
      <c r="AA4" s="56">
        <v>26</v>
      </c>
      <c r="AB4" s="55">
        <v>27</v>
      </c>
      <c r="AC4" s="55">
        <v>28</v>
      </c>
      <c r="AD4" s="56">
        <v>29</v>
      </c>
      <c r="AE4" s="55">
        <v>30</v>
      </c>
      <c r="AF4" s="55">
        <v>31</v>
      </c>
      <c r="AG4" s="56">
        <v>32</v>
      </c>
      <c r="AH4" s="55">
        <v>33</v>
      </c>
      <c r="AI4" s="55">
        <v>34</v>
      </c>
      <c r="AJ4" s="56">
        <v>35</v>
      </c>
      <c r="AK4" s="55">
        <v>36</v>
      </c>
      <c r="AL4" s="55">
        <v>37</v>
      </c>
      <c r="AM4" s="56">
        <v>38</v>
      </c>
      <c r="AN4" s="55">
        <v>39</v>
      </c>
      <c r="AO4" s="55">
        <v>40</v>
      </c>
      <c r="AP4" s="56">
        <v>41</v>
      </c>
      <c r="AQ4" s="55">
        <v>42</v>
      </c>
      <c r="AR4" s="55">
        <v>43</v>
      </c>
      <c r="AS4" s="56">
        <v>44</v>
      </c>
      <c r="AT4" s="55">
        <v>45</v>
      </c>
      <c r="AU4" s="55">
        <v>46</v>
      </c>
      <c r="AV4" s="56">
        <v>47</v>
      </c>
      <c r="AW4" s="55">
        <v>48</v>
      </c>
      <c r="AX4" s="55">
        <v>49</v>
      </c>
      <c r="AY4" s="56">
        <v>50</v>
      </c>
      <c r="AZ4" s="55">
        <v>51</v>
      </c>
      <c r="BA4" s="55">
        <v>52</v>
      </c>
      <c r="BB4" s="56">
        <v>53</v>
      </c>
      <c r="BC4" s="55">
        <v>54</v>
      </c>
      <c r="BD4" s="55">
        <v>55</v>
      </c>
      <c r="BE4" s="56">
        <v>56</v>
      </c>
      <c r="BF4" s="55">
        <v>57</v>
      </c>
      <c r="BG4" s="55">
        <v>58</v>
      </c>
      <c r="BH4" s="56">
        <v>59</v>
      </c>
      <c r="BI4" s="57">
        <v>60</v>
      </c>
    </row>
    <row r="5" spans="1:81">
      <c r="A5" s="58" t="s">
        <v>44</v>
      </c>
      <c r="B5" s="59">
        <f>(assinatura/12)*Premissas!B26</f>
        <v>4875</v>
      </c>
      <c r="C5" s="59">
        <f t="shared" ref="C5:M5" si="0">B5</f>
        <v>4875</v>
      </c>
      <c r="D5" s="59">
        <f t="shared" si="0"/>
        <v>4875</v>
      </c>
      <c r="E5" s="59">
        <f t="shared" si="0"/>
        <v>4875</v>
      </c>
      <c r="F5" s="59">
        <f t="shared" si="0"/>
        <v>4875</v>
      </c>
      <c r="G5" s="59">
        <f t="shared" si="0"/>
        <v>4875</v>
      </c>
      <c r="H5" s="59">
        <f t="shared" si="0"/>
        <v>4875</v>
      </c>
      <c r="I5" s="59">
        <f t="shared" si="0"/>
        <v>4875</v>
      </c>
      <c r="J5" s="59">
        <f t="shared" si="0"/>
        <v>4875</v>
      </c>
      <c r="K5" s="59">
        <f t="shared" si="0"/>
        <v>4875</v>
      </c>
      <c r="L5" s="59">
        <f t="shared" si="0"/>
        <v>4875</v>
      </c>
      <c r="M5" s="59">
        <f t="shared" si="0"/>
        <v>4875</v>
      </c>
      <c r="N5" s="59">
        <f>(Premissas!C26/12)*Premissas!C25</f>
        <v>8125</v>
      </c>
      <c r="O5" s="59">
        <f t="shared" ref="O5:X5" si="1">N5</f>
        <v>8125</v>
      </c>
      <c r="P5" s="59">
        <f t="shared" si="1"/>
        <v>8125</v>
      </c>
      <c r="Q5" s="59">
        <f t="shared" si="1"/>
        <v>8125</v>
      </c>
      <c r="R5" s="59">
        <f t="shared" si="1"/>
        <v>8125</v>
      </c>
      <c r="S5" s="59">
        <f t="shared" si="1"/>
        <v>8125</v>
      </c>
      <c r="T5" s="59">
        <f t="shared" si="1"/>
        <v>8125</v>
      </c>
      <c r="U5" s="59">
        <f t="shared" si="1"/>
        <v>8125</v>
      </c>
      <c r="V5" s="59">
        <f t="shared" si="1"/>
        <v>8125</v>
      </c>
      <c r="W5" s="59">
        <f t="shared" si="1"/>
        <v>8125</v>
      </c>
      <c r="X5" s="59">
        <f t="shared" si="1"/>
        <v>8125</v>
      </c>
      <c r="Y5" s="59">
        <f>(Premissas!D25/12)*Premissas!D26</f>
        <v>5416.6666666666661</v>
      </c>
      <c r="Z5" s="59">
        <f t="shared" ref="Z5:AJ5" si="2">Y5</f>
        <v>5416.6666666666661</v>
      </c>
      <c r="AA5" s="59">
        <f t="shared" si="2"/>
        <v>5416.6666666666661</v>
      </c>
      <c r="AB5" s="59">
        <f t="shared" si="2"/>
        <v>5416.6666666666661</v>
      </c>
      <c r="AC5" s="59">
        <f t="shared" si="2"/>
        <v>5416.6666666666661</v>
      </c>
      <c r="AD5" s="59">
        <f t="shared" si="2"/>
        <v>5416.6666666666661</v>
      </c>
      <c r="AE5" s="59">
        <f t="shared" si="2"/>
        <v>5416.6666666666661</v>
      </c>
      <c r="AF5" s="59">
        <f t="shared" si="2"/>
        <v>5416.6666666666661</v>
      </c>
      <c r="AG5" s="59">
        <f t="shared" si="2"/>
        <v>5416.6666666666661</v>
      </c>
      <c r="AH5" s="59">
        <f t="shared" si="2"/>
        <v>5416.6666666666661</v>
      </c>
      <c r="AI5" s="59">
        <f t="shared" si="2"/>
        <v>5416.6666666666661</v>
      </c>
      <c r="AJ5" s="59">
        <f t="shared" si="2"/>
        <v>5416.6666666666661</v>
      </c>
      <c r="AK5" s="59">
        <f>(Premissas!E25/12)*Premissas!E26</f>
        <v>8125</v>
      </c>
      <c r="AL5" s="59">
        <f t="shared" ref="AL5:AW5" si="3">AK5</f>
        <v>8125</v>
      </c>
      <c r="AM5" s="59">
        <f t="shared" si="3"/>
        <v>8125</v>
      </c>
      <c r="AN5" s="59">
        <f t="shared" si="3"/>
        <v>8125</v>
      </c>
      <c r="AO5" s="59">
        <f t="shared" si="3"/>
        <v>8125</v>
      </c>
      <c r="AP5" s="59">
        <f t="shared" si="3"/>
        <v>8125</v>
      </c>
      <c r="AQ5" s="59">
        <f t="shared" si="3"/>
        <v>8125</v>
      </c>
      <c r="AR5" s="59">
        <f t="shared" si="3"/>
        <v>8125</v>
      </c>
      <c r="AS5" s="59">
        <f t="shared" si="3"/>
        <v>8125</v>
      </c>
      <c r="AT5" s="59">
        <f t="shared" si="3"/>
        <v>8125</v>
      </c>
      <c r="AU5" s="59">
        <f t="shared" si="3"/>
        <v>8125</v>
      </c>
      <c r="AV5" s="59">
        <f t="shared" si="3"/>
        <v>8125</v>
      </c>
      <c r="AW5" s="59">
        <f t="shared" si="3"/>
        <v>8125</v>
      </c>
      <c r="AX5" s="59">
        <f>(Premissas!F25/12)*Premissas!F26</f>
        <v>6500</v>
      </c>
      <c r="AY5" s="59">
        <f t="shared" ref="AY5:BI5" si="4">AX5</f>
        <v>6500</v>
      </c>
      <c r="AZ5" s="59">
        <f t="shared" si="4"/>
        <v>6500</v>
      </c>
      <c r="BA5" s="59">
        <f t="shared" si="4"/>
        <v>6500</v>
      </c>
      <c r="BB5" s="59">
        <f t="shared" si="4"/>
        <v>6500</v>
      </c>
      <c r="BC5" s="59">
        <f t="shared" si="4"/>
        <v>6500</v>
      </c>
      <c r="BD5" s="59">
        <f t="shared" si="4"/>
        <v>6500</v>
      </c>
      <c r="BE5" s="59">
        <f t="shared" si="4"/>
        <v>6500</v>
      </c>
      <c r="BF5" s="59">
        <f t="shared" si="4"/>
        <v>6500</v>
      </c>
      <c r="BG5" s="59">
        <f t="shared" si="4"/>
        <v>6500</v>
      </c>
      <c r="BH5" s="59">
        <f t="shared" si="4"/>
        <v>6500</v>
      </c>
      <c r="BI5" s="59">
        <f t="shared" si="4"/>
        <v>6500</v>
      </c>
    </row>
    <row r="6" spans="1:81">
      <c r="A6" s="60" t="s">
        <v>40</v>
      </c>
      <c r="B6" s="61">
        <f t="shared" ref="B6:BI6" si="5">B5</f>
        <v>4875</v>
      </c>
      <c r="C6" s="61">
        <f t="shared" si="5"/>
        <v>4875</v>
      </c>
      <c r="D6" s="61">
        <f t="shared" si="5"/>
        <v>4875</v>
      </c>
      <c r="E6" s="61">
        <f t="shared" si="5"/>
        <v>4875</v>
      </c>
      <c r="F6" s="61">
        <f t="shared" si="5"/>
        <v>4875</v>
      </c>
      <c r="G6" s="61">
        <f t="shared" si="5"/>
        <v>4875</v>
      </c>
      <c r="H6" s="61">
        <f t="shared" si="5"/>
        <v>4875</v>
      </c>
      <c r="I6" s="61">
        <f t="shared" si="5"/>
        <v>4875</v>
      </c>
      <c r="J6" s="61">
        <f t="shared" si="5"/>
        <v>4875</v>
      </c>
      <c r="K6" s="61">
        <f t="shared" si="5"/>
        <v>4875</v>
      </c>
      <c r="L6" s="61">
        <f t="shared" si="5"/>
        <v>4875</v>
      </c>
      <c r="M6" s="61">
        <f t="shared" si="5"/>
        <v>4875</v>
      </c>
      <c r="N6" s="61">
        <f t="shared" si="5"/>
        <v>8125</v>
      </c>
      <c r="O6" s="61">
        <f t="shared" si="5"/>
        <v>8125</v>
      </c>
      <c r="P6" s="61">
        <f t="shared" si="5"/>
        <v>8125</v>
      </c>
      <c r="Q6" s="61">
        <f t="shared" si="5"/>
        <v>8125</v>
      </c>
      <c r="R6" s="61">
        <f t="shared" si="5"/>
        <v>8125</v>
      </c>
      <c r="S6" s="61">
        <f t="shared" si="5"/>
        <v>8125</v>
      </c>
      <c r="T6" s="61">
        <f t="shared" si="5"/>
        <v>8125</v>
      </c>
      <c r="U6" s="61">
        <f t="shared" si="5"/>
        <v>8125</v>
      </c>
      <c r="V6" s="61">
        <f t="shared" si="5"/>
        <v>8125</v>
      </c>
      <c r="W6" s="61">
        <f t="shared" si="5"/>
        <v>8125</v>
      </c>
      <c r="X6" s="61">
        <f t="shared" si="5"/>
        <v>8125</v>
      </c>
      <c r="Y6" s="61">
        <f t="shared" si="5"/>
        <v>5416.6666666666661</v>
      </c>
      <c r="Z6" s="61">
        <f t="shared" si="5"/>
        <v>5416.6666666666661</v>
      </c>
      <c r="AA6" s="61">
        <f t="shared" si="5"/>
        <v>5416.6666666666661</v>
      </c>
      <c r="AB6" s="61">
        <f t="shared" si="5"/>
        <v>5416.6666666666661</v>
      </c>
      <c r="AC6" s="61">
        <f t="shared" si="5"/>
        <v>5416.6666666666661</v>
      </c>
      <c r="AD6" s="61">
        <f t="shared" si="5"/>
        <v>5416.6666666666661</v>
      </c>
      <c r="AE6" s="61">
        <f t="shared" si="5"/>
        <v>5416.6666666666661</v>
      </c>
      <c r="AF6" s="61">
        <f t="shared" si="5"/>
        <v>5416.6666666666661</v>
      </c>
      <c r="AG6" s="61">
        <f t="shared" si="5"/>
        <v>5416.6666666666661</v>
      </c>
      <c r="AH6" s="61">
        <f t="shared" si="5"/>
        <v>5416.6666666666661</v>
      </c>
      <c r="AI6" s="61">
        <f t="shared" si="5"/>
        <v>5416.6666666666661</v>
      </c>
      <c r="AJ6" s="61">
        <f t="shared" si="5"/>
        <v>5416.6666666666661</v>
      </c>
      <c r="AK6" s="61">
        <f t="shared" si="5"/>
        <v>8125</v>
      </c>
      <c r="AL6" s="61">
        <f t="shared" si="5"/>
        <v>8125</v>
      </c>
      <c r="AM6" s="61">
        <f t="shared" si="5"/>
        <v>8125</v>
      </c>
      <c r="AN6" s="61">
        <f t="shared" si="5"/>
        <v>8125</v>
      </c>
      <c r="AO6" s="61">
        <f t="shared" si="5"/>
        <v>8125</v>
      </c>
      <c r="AP6" s="61">
        <f t="shared" si="5"/>
        <v>8125</v>
      </c>
      <c r="AQ6" s="61">
        <f t="shared" si="5"/>
        <v>8125</v>
      </c>
      <c r="AR6" s="61">
        <f t="shared" si="5"/>
        <v>8125</v>
      </c>
      <c r="AS6" s="61">
        <f t="shared" si="5"/>
        <v>8125</v>
      </c>
      <c r="AT6" s="61">
        <f t="shared" si="5"/>
        <v>8125</v>
      </c>
      <c r="AU6" s="61">
        <f t="shared" si="5"/>
        <v>8125</v>
      </c>
      <c r="AV6" s="61">
        <f t="shared" si="5"/>
        <v>8125</v>
      </c>
      <c r="AW6" s="61">
        <f t="shared" si="5"/>
        <v>8125</v>
      </c>
      <c r="AX6" s="61">
        <f t="shared" si="5"/>
        <v>6500</v>
      </c>
      <c r="AY6" s="61">
        <f t="shared" si="5"/>
        <v>6500</v>
      </c>
      <c r="AZ6" s="61">
        <f t="shared" si="5"/>
        <v>6500</v>
      </c>
      <c r="BA6" s="61">
        <f t="shared" si="5"/>
        <v>6500</v>
      </c>
      <c r="BB6" s="61">
        <f t="shared" si="5"/>
        <v>6500</v>
      </c>
      <c r="BC6" s="61">
        <f t="shared" si="5"/>
        <v>6500</v>
      </c>
      <c r="BD6" s="61">
        <f t="shared" si="5"/>
        <v>6500</v>
      </c>
      <c r="BE6" s="61">
        <f t="shared" si="5"/>
        <v>6500</v>
      </c>
      <c r="BF6" s="61">
        <f t="shared" si="5"/>
        <v>6500</v>
      </c>
      <c r="BG6" s="61">
        <f t="shared" si="5"/>
        <v>6500</v>
      </c>
      <c r="BH6" s="61">
        <f t="shared" si="5"/>
        <v>6500</v>
      </c>
      <c r="BI6" s="62">
        <f t="shared" si="5"/>
        <v>6500</v>
      </c>
    </row>
    <row r="7" spans="1:81">
      <c r="B7" s="39">
        <f>Premissas!B29</f>
        <v>75</v>
      </c>
      <c r="C7" s="39">
        <f t="shared" ref="C7:M7" si="6">B7</f>
        <v>75</v>
      </c>
      <c r="D7" s="39">
        <f t="shared" si="6"/>
        <v>75</v>
      </c>
      <c r="E7" s="39">
        <f t="shared" si="6"/>
        <v>75</v>
      </c>
      <c r="F7" s="39">
        <f t="shared" si="6"/>
        <v>75</v>
      </c>
      <c r="G7" s="39">
        <f t="shared" si="6"/>
        <v>75</v>
      </c>
      <c r="H7" s="39">
        <f t="shared" si="6"/>
        <v>75</v>
      </c>
      <c r="I7" s="39">
        <f t="shared" si="6"/>
        <v>75</v>
      </c>
      <c r="J7" s="39">
        <f t="shared" si="6"/>
        <v>75</v>
      </c>
      <c r="K7" s="39">
        <f t="shared" si="6"/>
        <v>75</v>
      </c>
      <c r="L7" s="39">
        <f t="shared" si="6"/>
        <v>75</v>
      </c>
      <c r="M7" s="39">
        <f t="shared" si="6"/>
        <v>75</v>
      </c>
      <c r="N7" s="39">
        <f>Premissas!C29</f>
        <v>125</v>
      </c>
      <c r="O7" s="39">
        <f t="shared" ref="O7:Y7" si="7">N7</f>
        <v>125</v>
      </c>
      <c r="P7" s="39">
        <f t="shared" si="7"/>
        <v>125</v>
      </c>
      <c r="Q7" s="39">
        <f t="shared" si="7"/>
        <v>125</v>
      </c>
      <c r="R7" s="39">
        <f t="shared" si="7"/>
        <v>125</v>
      </c>
      <c r="S7" s="39">
        <f t="shared" si="7"/>
        <v>125</v>
      </c>
      <c r="T7" s="39">
        <f t="shared" si="7"/>
        <v>125</v>
      </c>
      <c r="U7" s="39">
        <f t="shared" si="7"/>
        <v>125</v>
      </c>
      <c r="V7" s="39">
        <f t="shared" si="7"/>
        <v>125</v>
      </c>
      <c r="W7" s="39">
        <f t="shared" si="7"/>
        <v>125</v>
      </c>
      <c r="X7" s="39">
        <f t="shared" si="7"/>
        <v>125</v>
      </c>
      <c r="Y7" s="39">
        <f t="shared" si="7"/>
        <v>125</v>
      </c>
      <c r="Z7" s="39">
        <f>Premissas!D29</f>
        <v>83.333333333333329</v>
      </c>
      <c r="AA7" s="39">
        <f t="shared" ref="AA7:AK7" si="8">Z7</f>
        <v>83.333333333333329</v>
      </c>
      <c r="AB7" s="39">
        <f t="shared" si="8"/>
        <v>83.333333333333329</v>
      </c>
      <c r="AC7" s="39">
        <f t="shared" si="8"/>
        <v>83.333333333333329</v>
      </c>
      <c r="AD7" s="39">
        <f t="shared" si="8"/>
        <v>83.333333333333329</v>
      </c>
      <c r="AE7" s="39">
        <f t="shared" si="8"/>
        <v>83.333333333333329</v>
      </c>
      <c r="AF7" s="39">
        <f t="shared" si="8"/>
        <v>83.333333333333329</v>
      </c>
      <c r="AG7" s="39">
        <f t="shared" si="8"/>
        <v>83.333333333333329</v>
      </c>
      <c r="AH7" s="39">
        <f t="shared" si="8"/>
        <v>83.333333333333329</v>
      </c>
      <c r="AI7" s="39">
        <f t="shared" si="8"/>
        <v>83.333333333333329</v>
      </c>
      <c r="AJ7" s="39">
        <f t="shared" si="8"/>
        <v>83.333333333333329</v>
      </c>
      <c r="AK7" s="39">
        <f t="shared" si="8"/>
        <v>83.333333333333329</v>
      </c>
      <c r="AL7" s="39">
        <f>Premissas!E29</f>
        <v>125</v>
      </c>
      <c r="AM7" s="39">
        <f t="shared" ref="AM7:AW7" si="9">AL7</f>
        <v>125</v>
      </c>
      <c r="AN7" s="39">
        <f t="shared" si="9"/>
        <v>125</v>
      </c>
      <c r="AO7" s="39">
        <f t="shared" si="9"/>
        <v>125</v>
      </c>
      <c r="AP7" s="39">
        <f t="shared" si="9"/>
        <v>125</v>
      </c>
      <c r="AQ7" s="39">
        <f t="shared" si="9"/>
        <v>125</v>
      </c>
      <c r="AR7" s="39">
        <f t="shared" si="9"/>
        <v>125</v>
      </c>
      <c r="AS7" s="39">
        <f t="shared" si="9"/>
        <v>125</v>
      </c>
      <c r="AT7" s="39">
        <f t="shared" si="9"/>
        <v>125</v>
      </c>
      <c r="AU7" s="39">
        <f t="shared" si="9"/>
        <v>125</v>
      </c>
      <c r="AV7" s="39">
        <f t="shared" si="9"/>
        <v>125</v>
      </c>
      <c r="AW7" s="39">
        <f t="shared" si="9"/>
        <v>125</v>
      </c>
      <c r="AX7" s="39">
        <f>Premissas!F29</f>
        <v>100</v>
      </c>
      <c r="AY7" s="39">
        <f t="shared" ref="AY7:BI7" si="10">AX7</f>
        <v>100</v>
      </c>
      <c r="AZ7" s="39">
        <f t="shared" si="10"/>
        <v>100</v>
      </c>
      <c r="BA7" s="39">
        <f t="shared" si="10"/>
        <v>100</v>
      </c>
      <c r="BB7" s="39">
        <f t="shared" si="10"/>
        <v>100</v>
      </c>
      <c r="BC7" s="39">
        <f t="shared" si="10"/>
        <v>100</v>
      </c>
      <c r="BD7" s="39">
        <f t="shared" si="10"/>
        <v>100</v>
      </c>
      <c r="BE7" s="39">
        <f t="shared" si="10"/>
        <v>100</v>
      </c>
      <c r="BF7" s="39">
        <f t="shared" si="10"/>
        <v>100</v>
      </c>
      <c r="BG7" s="39">
        <f t="shared" si="10"/>
        <v>100</v>
      </c>
      <c r="BH7" s="39">
        <f t="shared" si="10"/>
        <v>100</v>
      </c>
      <c r="BI7" s="39">
        <f t="shared" si="10"/>
        <v>100</v>
      </c>
    </row>
    <row r="8" spans="1:81" ht="15.75">
      <c r="A8" s="63" t="s">
        <v>45</v>
      </c>
      <c r="B8" s="64">
        <v>1</v>
      </c>
      <c r="C8" s="65">
        <v>2</v>
      </c>
      <c r="D8" s="64">
        <v>3</v>
      </c>
      <c r="E8" s="64">
        <v>4</v>
      </c>
      <c r="F8" s="65">
        <v>5</v>
      </c>
      <c r="G8" s="64">
        <v>6</v>
      </c>
      <c r="H8" s="64">
        <v>7</v>
      </c>
      <c r="I8" s="65">
        <v>8</v>
      </c>
      <c r="J8" s="64">
        <v>9</v>
      </c>
      <c r="K8" s="64">
        <v>10</v>
      </c>
      <c r="L8" s="65">
        <v>11</v>
      </c>
      <c r="M8" s="64">
        <v>12</v>
      </c>
      <c r="N8" s="64">
        <v>13</v>
      </c>
      <c r="O8" s="65">
        <v>14</v>
      </c>
      <c r="P8" s="64">
        <v>15</v>
      </c>
      <c r="Q8" s="64">
        <v>16</v>
      </c>
      <c r="R8" s="65">
        <v>17</v>
      </c>
      <c r="S8" s="64">
        <v>18</v>
      </c>
      <c r="T8" s="64">
        <v>19</v>
      </c>
      <c r="U8" s="65">
        <v>20</v>
      </c>
      <c r="V8" s="64">
        <v>21</v>
      </c>
      <c r="W8" s="64">
        <v>22</v>
      </c>
      <c r="X8" s="65">
        <v>23</v>
      </c>
      <c r="Y8" s="64">
        <v>24</v>
      </c>
      <c r="Z8" s="64">
        <v>25</v>
      </c>
      <c r="AA8" s="65">
        <v>26</v>
      </c>
      <c r="AB8" s="64">
        <v>27</v>
      </c>
      <c r="AC8" s="64">
        <v>28</v>
      </c>
      <c r="AD8" s="65">
        <v>29</v>
      </c>
      <c r="AE8" s="64">
        <v>30</v>
      </c>
      <c r="AF8" s="64">
        <v>31</v>
      </c>
      <c r="AG8" s="65">
        <v>32</v>
      </c>
      <c r="AH8" s="64">
        <v>33</v>
      </c>
      <c r="AI8" s="64">
        <v>34</v>
      </c>
      <c r="AJ8" s="65">
        <v>35</v>
      </c>
      <c r="AK8" s="64">
        <v>36</v>
      </c>
      <c r="AL8" s="64">
        <v>37</v>
      </c>
      <c r="AM8" s="65">
        <v>38</v>
      </c>
      <c r="AN8" s="64">
        <v>39</v>
      </c>
      <c r="AO8" s="64">
        <v>40</v>
      </c>
      <c r="AP8" s="65">
        <v>41</v>
      </c>
      <c r="AQ8" s="64">
        <v>42</v>
      </c>
      <c r="AR8" s="64">
        <v>43</v>
      </c>
      <c r="AS8" s="65">
        <v>44</v>
      </c>
      <c r="AT8" s="64">
        <v>45</v>
      </c>
      <c r="AU8" s="64">
        <v>46</v>
      </c>
      <c r="AV8" s="65">
        <v>47</v>
      </c>
      <c r="AW8" s="64">
        <v>48</v>
      </c>
      <c r="AX8" s="64">
        <v>49</v>
      </c>
      <c r="AY8" s="65">
        <v>50</v>
      </c>
      <c r="AZ8" s="64">
        <v>51</v>
      </c>
      <c r="BA8" s="64">
        <v>52</v>
      </c>
      <c r="BB8" s="65">
        <v>53</v>
      </c>
      <c r="BC8" s="64">
        <v>54</v>
      </c>
      <c r="BD8" s="64">
        <v>55</v>
      </c>
      <c r="BE8" s="65">
        <v>56</v>
      </c>
      <c r="BF8" s="64">
        <v>57</v>
      </c>
      <c r="BG8" s="64">
        <v>58</v>
      </c>
      <c r="BH8" s="65">
        <v>59</v>
      </c>
      <c r="BI8" s="66">
        <v>60</v>
      </c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</row>
    <row r="9" spans="1:81">
      <c r="A9" s="68" t="s">
        <v>46</v>
      </c>
      <c r="B9" s="59">
        <f>(Premissas!B27/12)*Premissas!B28</f>
        <v>0</v>
      </c>
      <c r="C9" s="69">
        <f t="shared" ref="C9:M9" si="11">B9</f>
        <v>0</v>
      </c>
      <c r="D9" s="69">
        <f t="shared" si="11"/>
        <v>0</v>
      </c>
      <c r="E9" s="69">
        <f t="shared" si="11"/>
        <v>0</v>
      </c>
      <c r="F9" s="69">
        <f t="shared" si="11"/>
        <v>0</v>
      </c>
      <c r="G9" s="69">
        <f t="shared" si="11"/>
        <v>0</v>
      </c>
      <c r="H9" s="69">
        <f t="shared" si="11"/>
        <v>0</v>
      </c>
      <c r="I9" s="69">
        <f t="shared" si="11"/>
        <v>0</v>
      </c>
      <c r="J9" s="69">
        <f t="shared" si="11"/>
        <v>0</v>
      </c>
      <c r="K9" s="69">
        <f t="shared" si="11"/>
        <v>0</v>
      </c>
      <c r="L9" s="69">
        <f t="shared" si="11"/>
        <v>0</v>
      </c>
      <c r="M9" s="69">
        <f t="shared" si="11"/>
        <v>0</v>
      </c>
      <c r="N9" s="59">
        <f>(Premissas!C27/12)*Premissas!C28</f>
        <v>0</v>
      </c>
      <c r="O9" s="69">
        <f t="shared" ref="O9:Y9" si="12">N9</f>
        <v>0</v>
      </c>
      <c r="P9" s="69">
        <f t="shared" si="12"/>
        <v>0</v>
      </c>
      <c r="Q9" s="69">
        <f t="shared" si="12"/>
        <v>0</v>
      </c>
      <c r="R9" s="69">
        <f t="shared" si="12"/>
        <v>0</v>
      </c>
      <c r="S9" s="69">
        <f t="shared" si="12"/>
        <v>0</v>
      </c>
      <c r="T9" s="69">
        <f t="shared" si="12"/>
        <v>0</v>
      </c>
      <c r="U9" s="69">
        <f t="shared" si="12"/>
        <v>0</v>
      </c>
      <c r="V9" s="69">
        <f t="shared" si="12"/>
        <v>0</v>
      </c>
      <c r="W9" s="69">
        <f t="shared" si="12"/>
        <v>0</v>
      </c>
      <c r="X9" s="69">
        <f t="shared" si="12"/>
        <v>0</v>
      </c>
      <c r="Y9" s="69">
        <f t="shared" si="12"/>
        <v>0</v>
      </c>
      <c r="Z9" s="59">
        <f>(Premissas!D27/12)*Premissas!D28</f>
        <v>0</v>
      </c>
      <c r="AA9" s="69">
        <f t="shared" ref="AA9:AK9" si="13">Z9</f>
        <v>0</v>
      </c>
      <c r="AB9" s="69">
        <f t="shared" si="13"/>
        <v>0</v>
      </c>
      <c r="AC9" s="69">
        <f t="shared" si="13"/>
        <v>0</v>
      </c>
      <c r="AD9" s="69">
        <f t="shared" si="13"/>
        <v>0</v>
      </c>
      <c r="AE9" s="69">
        <f t="shared" si="13"/>
        <v>0</v>
      </c>
      <c r="AF9" s="69">
        <f t="shared" si="13"/>
        <v>0</v>
      </c>
      <c r="AG9" s="69">
        <f t="shared" si="13"/>
        <v>0</v>
      </c>
      <c r="AH9" s="69">
        <f t="shared" si="13"/>
        <v>0</v>
      </c>
      <c r="AI9" s="69">
        <f t="shared" si="13"/>
        <v>0</v>
      </c>
      <c r="AJ9" s="69">
        <f t="shared" si="13"/>
        <v>0</v>
      </c>
      <c r="AK9" s="69">
        <f t="shared" si="13"/>
        <v>0</v>
      </c>
      <c r="AL9" s="59">
        <f>(Premissas!E27/12)*Premissas!E28</f>
        <v>18333.333333333332</v>
      </c>
      <c r="AM9" s="69">
        <f t="shared" ref="AM9:AW9" si="14">AL9</f>
        <v>18333.333333333332</v>
      </c>
      <c r="AN9" s="69">
        <f t="shared" si="14"/>
        <v>18333.333333333332</v>
      </c>
      <c r="AO9" s="69">
        <f t="shared" si="14"/>
        <v>18333.333333333332</v>
      </c>
      <c r="AP9" s="69">
        <f t="shared" si="14"/>
        <v>18333.333333333332</v>
      </c>
      <c r="AQ9" s="69">
        <f t="shared" si="14"/>
        <v>18333.333333333332</v>
      </c>
      <c r="AR9" s="69">
        <f t="shared" si="14"/>
        <v>18333.333333333332</v>
      </c>
      <c r="AS9" s="69">
        <f t="shared" si="14"/>
        <v>18333.333333333332</v>
      </c>
      <c r="AT9" s="69">
        <f t="shared" si="14"/>
        <v>18333.333333333332</v>
      </c>
      <c r="AU9" s="69">
        <f t="shared" si="14"/>
        <v>18333.333333333332</v>
      </c>
      <c r="AV9" s="69">
        <f t="shared" si="14"/>
        <v>18333.333333333332</v>
      </c>
      <c r="AW9" s="69">
        <f t="shared" si="14"/>
        <v>18333.333333333332</v>
      </c>
      <c r="AX9" s="59">
        <f>(Premissas!F27/12)*Premissas!F28</f>
        <v>11458.333333333334</v>
      </c>
      <c r="AY9" s="69">
        <f t="shared" ref="AY9:BI9" si="15">AX9</f>
        <v>11458.333333333334</v>
      </c>
      <c r="AZ9" s="69">
        <f t="shared" si="15"/>
        <v>11458.333333333334</v>
      </c>
      <c r="BA9" s="69">
        <f t="shared" si="15"/>
        <v>11458.333333333334</v>
      </c>
      <c r="BB9" s="69">
        <f t="shared" si="15"/>
        <v>11458.333333333334</v>
      </c>
      <c r="BC9" s="69">
        <f t="shared" si="15"/>
        <v>11458.333333333334</v>
      </c>
      <c r="BD9" s="69">
        <f t="shared" si="15"/>
        <v>11458.333333333334</v>
      </c>
      <c r="BE9" s="69">
        <f t="shared" si="15"/>
        <v>11458.333333333334</v>
      </c>
      <c r="BF9" s="69">
        <f t="shared" si="15"/>
        <v>11458.333333333334</v>
      </c>
      <c r="BG9" s="69">
        <f t="shared" si="15"/>
        <v>11458.333333333334</v>
      </c>
      <c r="BH9" s="69">
        <f t="shared" si="15"/>
        <v>11458.333333333334</v>
      </c>
      <c r="BI9" s="69">
        <f t="shared" si="15"/>
        <v>11458.333333333334</v>
      </c>
    </row>
    <row r="10" spans="1:81">
      <c r="A10" s="70" t="s">
        <v>40</v>
      </c>
      <c r="B10" s="61">
        <f t="shared" ref="B10:BI10" si="16">SUM(B9)</f>
        <v>0</v>
      </c>
      <c r="C10" s="61">
        <f t="shared" si="16"/>
        <v>0</v>
      </c>
      <c r="D10" s="61">
        <f t="shared" si="16"/>
        <v>0</v>
      </c>
      <c r="E10" s="61">
        <f t="shared" si="16"/>
        <v>0</v>
      </c>
      <c r="F10" s="61">
        <f t="shared" si="16"/>
        <v>0</v>
      </c>
      <c r="G10" s="61">
        <f t="shared" si="16"/>
        <v>0</v>
      </c>
      <c r="H10" s="61">
        <f t="shared" si="16"/>
        <v>0</v>
      </c>
      <c r="I10" s="61">
        <f t="shared" si="16"/>
        <v>0</v>
      </c>
      <c r="J10" s="61">
        <f t="shared" si="16"/>
        <v>0</v>
      </c>
      <c r="K10" s="61">
        <f t="shared" si="16"/>
        <v>0</v>
      </c>
      <c r="L10" s="61">
        <f t="shared" si="16"/>
        <v>0</v>
      </c>
      <c r="M10" s="61">
        <f t="shared" si="16"/>
        <v>0</v>
      </c>
      <c r="N10" s="61">
        <f t="shared" si="16"/>
        <v>0</v>
      </c>
      <c r="O10" s="61">
        <f t="shared" si="16"/>
        <v>0</v>
      </c>
      <c r="P10" s="61">
        <f t="shared" si="16"/>
        <v>0</v>
      </c>
      <c r="Q10" s="61">
        <f t="shared" si="16"/>
        <v>0</v>
      </c>
      <c r="R10" s="61">
        <f t="shared" si="16"/>
        <v>0</v>
      </c>
      <c r="S10" s="61">
        <f t="shared" si="16"/>
        <v>0</v>
      </c>
      <c r="T10" s="61">
        <f t="shared" si="16"/>
        <v>0</v>
      </c>
      <c r="U10" s="61">
        <f t="shared" si="16"/>
        <v>0</v>
      </c>
      <c r="V10" s="61">
        <f t="shared" si="16"/>
        <v>0</v>
      </c>
      <c r="W10" s="61">
        <f t="shared" si="16"/>
        <v>0</v>
      </c>
      <c r="X10" s="61">
        <f t="shared" si="16"/>
        <v>0</v>
      </c>
      <c r="Y10" s="61">
        <f t="shared" si="16"/>
        <v>0</v>
      </c>
      <c r="Z10" s="61">
        <f t="shared" si="16"/>
        <v>0</v>
      </c>
      <c r="AA10" s="61">
        <f t="shared" si="16"/>
        <v>0</v>
      </c>
      <c r="AB10" s="61">
        <f t="shared" si="16"/>
        <v>0</v>
      </c>
      <c r="AC10" s="61">
        <f t="shared" si="16"/>
        <v>0</v>
      </c>
      <c r="AD10" s="61">
        <f t="shared" si="16"/>
        <v>0</v>
      </c>
      <c r="AE10" s="61">
        <f t="shared" si="16"/>
        <v>0</v>
      </c>
      <c r="AF10" s="61">
        <f t="shared" si="16"/>
        <v>0</v>
      </c>
      <c r="AG10" s="61">
        <f t="shared" si="16"/>
        <v>0</v>
      </c>
      <c r="AH10" s="61">
        <f t="shared" si="16"/>
        <v>0</v>
      </c>
      <c r="AI10" s="61">
        <f t="shared" si="16"/>
        <v>0</v>
      </c>
      <c r="AJ10" s="61">
        <f t="shared" si="16"/>
        <v>0</v>
      </c>
      <c r="AK10" s="61">
        <f t="shared" si="16"/>
        <v>0</v>
      </c>
      <c r="AL10" s="61">
        <f t="shared" si="16"/>
        <v>18333.333333333332</v>
      </c>
      <c r="AM10" s="61">
        <f t="shared" si="16"/>
        <v>18333.333333333332</v>
      </c>
      <c r="AN10" s="61">
        <f t="shared" si="16"/>
        <v>18333.333333333332</v>
      </c>
      <c r="AO10" s="61">
        <f t="shared" si="16"/>
        <v>18333.333333333332</v>
      </c>
      <c r="AP10" s="61">
        <f t="shared" si="16"/>
        <v>18333.333333333332</v>
      </c>
      <c r="AQ10" s="61">
        <f t="shared" si="16"/>
        <v>18333.333333333332</v>
      </c>
      <c r="AR10" s="61">
        <f t="shared" si="16"/>
        <v>18333.333333333332</v>
      </c>
      <c r="AS10" s="61">
        <f t="shared" si="16"/>
        <v>18333.333333333332</v>
      </c>
      <c r="AT10" s="61">
        <f t="shared" si="16"/>
        <v>18333.333333333332</v>
      </c>
      <c r="AU10" s="61">
        <f t="shared" si="16"/>
        <v>18333.333333333332</v>
      </c>
      <c r="AV10" s="61">
        <f t="shared" si="16"/>
        <v>18333.333333333332</v>
      </c>
      <c r="AW10" s="61">
        <f t="shared" si="16"/>
        <v>18333.333333333332</v>
      </c>
      <c r="AX10" s="61">
        <f t="shared" si="16"/>
        <v>11458.333333333334</v>
      </c>
      <c r="AY10" s="61">
        <f t="shared" si="16"/>
        <v>11458.333333333334</v>
      </c>
      <c r="AZ10" s="61">
        <f t="shared" si="16"/>
        <v>11458.333333333334</v>
      </c>
      <c r="BA10" s="61">
        <f t="shared" si="16"/>
        <v>11458.333333333334</v>
      </c>
      <c r="BB10" s="61">
        <f t="shared" si="16"/>
        <v>11458.333333333334</v>
      </c>
      <c r="BC10" s="61">
        <f t="shared" si="16"/>
        <v>11458.333333333334</v>
      </c>
      <c r="BD10" s="61">
        <f t="shared" si="16"/>
        <v>11458.333333333334</v>
      </c>
      <c r="BE10" s="61">
        <f t="shared" si="16"/>
        <v>11458.333333333334</v>
      </c>
      <c r="BF10" s="61">
        <f t="shared" si="16"/>
        <v>11458.333333333334</v>
      </c>
      <c r="BG10" s="61">
        <f t="shared" si="16"/>
        <v>11458.333333333334</v>
      </c>
      <c r="BH10" s="61">
        <f t="shared" si="16"/>
        <v>11458.333333333334</v>
      </c>
      <c r="BI10" s="61">
        <f t="shared" si="16"/>
        <v>11458.333333333334</v>
      </c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</row>
    <row r="11" spans="1:81">
      <c r="B11" s="39">
        <f>Premissas!B30</f>
        <v>0</v>
      </c>
      <c r="C11" s="39">
        <f t="shared" ref="C11:M11" si="17">B11</f>
        <v>0</v>
      </c>
      <c r="D11" s="39">
        <f t="shared" si="17"/>
        <v>0</v>
      </c>
      <c r="E11" s="39">
        <f t="shared" si="17"/>
        <v>0</v>
      </c>
      <c r="F11" s="39">
        <f t="shared" si="17"/>
        <v>0</v>
      </c>
      <c r="G11" s="39">
        <f t="shared" si="17"/>
        <v>0</v>
      </c>
      <c r="H11" s="39">
        <f t="shared" si="17"/>
        <v>0</v>
      </c>
      <c r="I11" s="39">
        <f t="shared" si="17"/>
        <v>0</v>
      </c>
      <c r="J11" s="39">
        <f t="shared" si="17"/>
        <v>0</v>
      </c>
      <c r="K11" s="39">
        <f t="shared" si="17"/>
        <v>0</v>
      </c>
      <c r="L11" s="39">
        <f t="shared" si="17"/>
        <v>0</v>
      </c>
      <c r="M11" s="39">
        <f t="shared" si="17"/>
        <v>0</v>
      </c>
      <c r="N11" s="39">
        <f>Premissas!C30</f>
        <v>0</v>
      </c>
      <c r="O11" s="39">
        <f t="shared" ref="O11:Y11" si="18">N11</f>
        <v>0</v>
      </c>
      <c r="P11" s="39">
        <f t="shared" si="18"/>
        <v>0</v>
      </c>
      <c r="Q11" s="39">
        <f t="shared" si="18"/>
        <v>0</v>
      </c>
      <c r="R11" s="39">
        <f t="shared" si="18"/>
        <v>0</v>
      </c>
      <c r="S11" s="39">
        <f t="shared" si="18"/>
        <v>0</v>
      </c>
      <c r="T11" s="39">
        <f t="shared" si="18"/>
        <v>0</v>
      </c>
      <c r="U11" s="39">
        <f t="shared" si="18"/>
        <v>0</v>
      </c>
      <c r="V11" s="39">
        <f t="shared" si="18"/>
        <v>0</v>
      </c>
      <c r="W11" s="39">
        <f t="shared" si="18"/>
        <v>0</v>
      </c>
      <c r="X11" s="39">
        <f t="shared" si="18"/>
        <v>0</v>
      </c>
      <c r="Y11" s="39">
        <f t="shared" si="18"/>
        <v>0</v>
      </c>
      <c r="Z11" s="39">
        <f>Premissas!D30</f>
        <v>0</v>
      </c>
      <c r="AA11" s="39">
        <f t="shared" ref="AA11:AK11" si="19">Z11</f>
        <v>0</v>
      </c>
      <c r="AB11" s="39">
        <f t="shared" si="19"/>
        <v>0</v>
      </c>
      <c r="AC11" s="39">
        <f t="shared" si="19"/>
        <v>0</v>
      </c>
      <c r="AD11" s="39">
        <f t="shared" si="19"/>
        <v>0</v>
      </c>
      <c r="AE11" s="39">
        <f t="shared" si="19"/>
        <v>0</v>
      </c>
      <c r="AF11" s="39">
        <f t="shared" si="19"/>
        <v>0</v>
      </c>
      <c r="AG11" s="39">
        <f t="shared" si="19"/>
        <v>0</v>
      </c>
      <c r="AH11" s="39">
        <f t="shared" si="19"/>
        <v>0</v>
      </c>
      <c r="AI11" s="39">
        <f t="shared" si="19"/>
        <v>0</v>
      </c>
      <c r="AJ11" s="39">
        <f t="shared" si="19"/>
        <v>0</v>
      </c>
      <c r="AK11" s="39">
        <f t="shared" si="19"/>
        <v>0</v>
      </c>
      <c r="AL11" s="39">
        <f>Premissas!E30</f>
        <v>333.33333333333331</v>
      </c>
      <c r="AM11" s="39">
        <f t="shared" ref="AM11:AW11" si="20">AL11</f>
        <v>333.33333333333331</v>
      </c>
      <c r="AN11" s="39">
        <f t="shared" si="20"/>
        <v>333.33333333333331</v>
      </c>
      <c r="AO11" s="39">
        <f t="shared" si="20"/>
        <v>333.33333333333331</v>
      </c>
      <c r="AP11" s="39">
        <f t="shared" si="20"/>
        <v>333.33333333333331</v>
      </c>
      <c r="AQ11" s="39">
        <f t="shared" si="20"/>
        <v>333.33333333333331</v>
      </c>
      <c r="AR11" s="39">
        <f t="shared" si="20"/>
        <v>333.33333333333331</v>
      </c>
      <c r="AS11" s="39">
        <f t="shared" si="20"/>
        <v>333.33333333333331</v>
      </c>
      <c r="AT11" s="39">
        <f t="shared" si="20"/>
        <v>333.33333333333331</v>
      </c>
      <c r="AU11" s="39">
        <f t="shared" si="20"/>
        <v>333.33333333333331</v>
      </c>
      <c r="AV11" s="39">
        <f t="shared" si="20"/>
        <v>333.33333333333331</v>
      </c>
      <c r="AW11" s="39">
        <f t="shared" si="20"/>
        <v>333.33333333333331</v>
      </c>
      <c r="AX11" s="39">
        <f>Premissas!F30</f>
        <v>208.33333333333334</v>
      </c>
      <c r="AY11" s="39">
        <f t="shared" ref="AY11:BI11" si="21">AX11</f>
        <v>208.33333333333334</v>
      </c>
      <c r="AZ11" s="39">
        <f t="shared" si="21"/>
        <v>208.33333333333334</v>
      </c>
      <c r="BA11" s="39">
        <f t="shared" si="21"/>
        <v>208.33333333333334</v>
      </c>
      <c r="BB11" s="39">
        <f t="shared" si="21"/>
        <v>208.33333333333334</v>
      </c>
      <c r="BC11" s="39">
        <f t="shared" si="21"/>
        <v>208.33333333333334</v>
      </c>
      <c r="BD11" s="39">
        <f t="shared" si="21"/>
        <v>208.33333333333334</v>
      </c>
      <c r="BE11" s="39">
        <f t="shared" si="21"/>
        <v>208.33333333333334</v>
      </c>
      <c r="BF11" s="39">
        <f t="shared" si="21"/>
        <v>208.33333333333334</v>
      </c>
      <c r="BG11" s="39">
        <f t="shared" si="21"/>
        <v>208.33333333333334</v>
      </c>
      <c r="BH11" s="39">
        <f t="shared" si="21"/>
        <v>208.33333333333334</v>
      </c>
      <c r="BI11" s="39">
        <f t="shared" si="21"/>
        <v>208.33333333333334</v>
      </c>
    </row>
    <row r="12" spans="1:81" ht="15.75">
      <c r="A12" s="63" t="s">
        <v>47</v>
      </c>
      <c r="B12" s="64">
        <v>1</v>
      </c>
      <c r="C12" s="65">
        <v>2</v>
      </c>
      <c r="D12" s="64">
        <v>3</v>
      </c>
      <c r="E12" s="64">
        <v>4</v>
      </c>
      <c r="F12" s="65">
        <v>5</v>
      </c>
      <c r="G12" s="64">
        <v>6</v>
      </c>
      <c r="H12" s="64">
        <v>7</v>
      </c>
      <c r="I12" s="65">
        <v>8</v>
      </c>
      <c r="J12" s="64">
        <v>9</v>
      </c>
      <c r="K12" s="64">
        <v>10</v>
      </c>
      <c r="L12" s="65">
        <v>11</v>
      </c>
      <c r="M12" s="64">
        <v>12</v>
      </c>
      <c r="N12" s="64">
        <v>13</v>
      </c>
      <c r="O12" s="65">
        <v>14</v>
      </c>
      <c r="P12" s="64">
        <v>15</v>
      </c>
      <c r="Q12" s="64">
        <v>16</v>
      </c>
      <c r="R12" s="65">
        <v>17</v>
      </c>
      <c r="S12" s="64">
        <v>18</v>
      </c>
      <c r="T12" s="64">
        <v>19</v>
      </c>
      <c r="U12" s="65">
        <v>20</v>
      </c>
      <c r="V12" s="64">
        <v>21</v>
      </c>
      <c r="W12" s="64">
        <v>22</v>
      </c>
      <c r="X12" s="65">
        <v>23</v>
      </c>
      <c r="Y12" s="64">
        <v>24</v>
      </c>
      <c r="Z12" s="64">
        <v>25</v>
      </c>
      <c r="AA12" s="65">
        <v>26</v>
      </c>
      <c r="AB12" s="64">
        <v>27</v>
      </c>
      <c r="AC12" s="64">
        <v>28</v>
      </c>
      <c r="AD12" s="65">
        <v>29</v>
      </c>
      <c r="AE12" s="64">
        <v>30</v>
      </c>
      <c r="AF12" s="64">
        <v>31</v>
      </c>
      <c r="AG12" s="65">
        <v>32</v>
      </c>
      <c r="AH12" s="64">
        <v>33</v>
      </c>
      <c r="AI12" s="64">
        <v>34</v>
      </c>
      <c r="AJ12" s="65">
        <v>35</v>
      </c>
      <c r="AK12" s="64">
        <v>36</v>
      </c>
      <c r="AL12" s="64">
        <v>37</v>
      </c>
      <c r="AM12" s="65">
        <v>38</v>
      </c>
      <c r="AN12" s="64">
        <v>39</v>
      </c>
      <c r="AO12" s="64">
        <v>40</v>
      </c>
      <c r="AP12" s="65">
        <v>41</v>
      </c>
      <c r="AQ12" s="64">
        <v>42</v>
      </c>
      <c r="AR12" s="64">
        <v>43</v>
      </c>
      <c r="AS12" s="65">
        <v>44</v>
      </c>
      <c r="AT12" s="64">
        <v>45</v>
      </c>
      <c r="AU12" s="64">
        <v>46</v>
      </c>
      <c r="AV12" s="65">
        <v>47</v>
      </c>
      <c r="AW12" s="64">
        <v>48</v>
      </c>
      <c r="AX12" s="64">
        <v>49</v>
      </c>
      <c r="AY12" s="65">
        <v>50</v>
      </c>
      <c r="AZ12" s="64">
        <v>51</v>
      </c>
      <c r="BA12" s="64">
        <v>52</v>
      </c>
      <c r="BB12" s="65">
        <v>53</v>
      </c>
      <c r="BC12" s="64">
        <v>54</v>
      </c>
      <c r="BD12" s="64">
        <v>55</v>
      </c>
      <c r="BE12" s="65">
        <v>56</v>
      </c>
      <c r="BF12" s="64">
        <v>57</v>
      </c>
      <c r="BG12" s="64">
        <v>58</v>
      </c>
      <c r="BH12" s="65">
        <v>59</v>
      </c>
      <c r="BI12" s="66">
        <v>60</v>
      </c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</row>
    <row r="13" spans="1:81">
      <c r="A13" s="68" t="s">
        <v>48</v>
      </c>
      <c r="B13" s="59">
        <f>(Premissas!B23/12)*Premissas!B24</f>
        <v>0</v>
      </c>
      <c r="C13" s="69">
        <f t="shared" ref="C13:M13" si="22">B13</f>
        <v>0</v>
      </c>
      <c r="D13" s="69">
        <f t="shared" si="22"/>
        <v>0</v>
      </c>
      <c r="E13" s="69">
        <f t="shared" si="22"/>
        <v>0</v>
      </c>
      <c r="F13" s="69">
        <f t="shared" si="22"/>
        <v>0</v>
      </c>
      <c r="G13" s="69">
        <f t="shared" si="22"/>
        <v>0</v>
      </c>
      <c r="H13" s="69">
        <f t="shared" si="22"/>
        <v>0</v>
      </c>
      <c r="I13" s="69">
        <f t="shared" si="22"/>
        <v>0</v>
      </c>
      <c r="J13" s="69">
        <f t="shared" si="22"/>
        <v>0</v>
      </c>
      <c r="K13" s="69">
        <f t="shared" si="22"/>
        <v>0</v>
      </c>
      <c r="L13" s="69">
        <f t="shared" si="22"/>
        <v>0</v>
      </c>
      <c r="M13" s="69">
        <f t="shared" si="22"/>
        <v>0</v>
      </c>
      <c r="N13" s="59">
        <f>(Premissas!C23/12)*Premissas!C24</f>
        <v>937.5</v>
      </c>
      <c r="O13" s="69">
        <f t="shared" ref="O13:Y13" si="23">N13</f>
        <v>937.5</v>
      </c>
      <c r="P13" s="69">
        <f t="shared" si="23"/>
        <v>937.5</v>
      </c>
      <c r="Q13" s="69">
        <f t="shared" si="23"/>
        <v>937.5</v>
      </c>
      <c r="R13" s="69">
        <f t="shared" si="23"/>
        <v>937.5</v>
      </c>
      <c r="S13" s="69">
        <f t="shared" si="23"/>
        <v>937.5</v>
      </c>
      <c r="T13" s="69">
        <f t="shared" si="23"/>
        <v>937.5</v>
      </c>
      <c r="U13" s="69">
        <f t="shared" si="23"/>
        <v>937.5</v>
      </c>
      <c r="V13" s="69">
        <f t="shared" si="23"/>
        <v>937.5</v>
      </c>
      <c r="W13" s="69">
        <f t="shared" si="23"/>
        <v>937.5</v>
      </c>
      <c r="X13" s="69">
        <f t="shared" si="23"/>
        <v>937.5</v>
      </c>
      <c r="Y13" s="69">
        <f t="shared" si="23"/>
        <v>937.5</v>
      </c>
      <c r="Z13" s="59">
        <f>(Premissas!D23/12)*Premissas!D24</f>
        <v>625</v>
      </c>
      <c r="AA13" s="69">
        <f t="shared" ref="AA13:AK13" si="24">Z13</f>
        <v>625</v>
      </c>
      <c r="AB13" s="69">
        <f t="shared" si="24"/>
        <v>625</v>
      </c>
      <c r="AC13" s="69">
        <f t="shared" si="24"/>
        <v>625</v>
      </c>
      <c r="AD13" s="69">
        <f t="shared" si="24"/>
        <v>625</v>
      </c>
      <c r="AE13" s="69">
        <f t="shared" si="24"/>
        <v>625</v>
      </c>
      <c r="AF13" s="69">
        <f t="shared" si="24"/>
        <v>625</v>
      </c>
      <c r="AG13" s="69">
        <f t="shared" si="24"/>
        <v>625</v>
      </c>
      <c r="AH13" s="69">
        <f t="shared" si="24"/>
        <v>625</v>
      </c>
      <c r="AI13" s="69">
        <f t="shared" si="24"/>
        <v>625</v>
      </c>
      <c r="AJ13" s="69">
        <f t="shared" si="24"/>
        <v>625</v>
      </c>
      <c r="AK13" s="69">
        <f t="shared" si="24"/>
        <v>625</v>
      </c>
      <c r="AL13" s="59">
        <f>(Premissas!E23/12)*Premissas!E24</f>
        <v>3437.5</v>
      </c>
      <c r="AM13" s="69">
        <f t="shared" ref="AM13:AW13" si="25">AL13</f>
        <v>3437.5</v>
      </c>
      <c r="AN13" s="69">
        <f t="shared" si="25"/>
        <v>3437.5</v>
      </c>
      <c r="AO13" s="69">
        <f t="shared" si="25"/>
        <v>3437.5</v>
      </c>
      <c r="AP13" s="69">
        <f t="shared" si="25"/>
        <v>3437.5</v>
      </c>
      <c r="AQ13" s="69">
        <f t="shared" si="25"/>
        <v>3437.5</v>
      </c>
      <c r="AR13" s="69">
        <f t="shared" si="25"/>
        <v>3437.5</v>
      </c>
      <c r="AS13" s="69">
        <f t="shared" si="25"/>
        <v>3437.5</v>
      </c>
      <c r="AT13" s="69">
        <f t="shared" si="25"/>
        <v>3437.5</v>
      </c>
      <c r="AU13" s="69">
        <f t="shared" si="25"/>
        <v>3437.5</v>
      </c>
      <c r="AV13" s="69">
        <f t="shared" si="25"/>
        <v>3437.5</v>
      </c>
      <c r="AW13" s="69">
        <f t="shared" si="25"/>
        <v>3437.5</v>
      </c>
      <c r="AX13" s="59">
        <f>(Premissas!F23/12)*Premissas!F24</f>
        <v>2312.5</v>
      </c>
      <c r="AY13" s="69">
        <f t="shared" ref="AY13:BI13" si="26">AX13</f>
        <v>2312.5</v>
      </c>
      <c r="AZ13" s="69">
        <f t="shared" si="26"/>
        <v>2312.5</v>
      </c>
      <c r="BA13" s="69">
        <f t="shared" si="26"/>
        <v>2312.5</v>
      </c>
      <c r="BB13" s="69">
        <f t="shared" si="26"/>
        <v>2312.5</v>
      </c>
      <c r="BC13" s="69">
        <f t="shared" si="26"/>
        <v>2312.5</v>
      </c>
      <c r="BD13" s="69">
        <f t="shared" si="26"/>
        <v>2312.5</v>
      </c>
      <c r="BE13" s="69">
        <f t="shared" si="26"/>
        <v>2312.5</v>
      </c>
      <c r="BF13" s="69">
        <f t="shared" si="26"/>
        <v>2312.5</v>
      </c>
      <c r="BG13" s="69">
        <f t="shared" si="26"/>
        <v>2312.5</v>
      </c>
      <c r="BH13" s="69">
        <f t="shared" si="26"/>
        <v>2312.5</v>
      </c>
      <c r="BI13" s="69">
        <f t="shared" si="26"/>
        <v>2312.5</v>
      </c>
    </row>
    <row r="14" spans="1:81">
      <c r="A14" s="70" t="s">
        <v>40</v>
      </c>
      <c r="B14" s="61">
        <f t="shared" ref="B14:BI14" si="27">SUM(B13)</f>
        <v>0</v>
      </c>
      <c r="C14" s="61">
        <f t="shared" si="27"/>
        <v>0</v>
      </c>
      <c r="D14" s="61">
        <f t="shared" si="27"/>
        <v>0</v>
      </c>
      <c r="E14" s="61">
        <f t="shared" si="27"/>
        <v>0</v>
      </c>
      <c r="F14" s="61">
        <f t="shared" si="27"/>
        <v>0</v>
      </c>
      <c r="G14" s="61">
        <f t="shared" si="27"/>
        <v>0</v>
      </c>
      <c r="H14" s="61">
        <f t="shared" si="27"/>
        <v>0</v>
      </c>
      <c r="I14" s="61">
        <f t="shared" si="27"/>
        <v>0</v>
      </c>
      <c r="J14" s="61">
        <f t="shared" si="27"/>
        <v>0</v>
      </c>
      <c r="K14" s="61">
        <f t="shared" si="27"/>
        <v>0</v>
      </c>
      <c r="L14" s="61">
        <f t="shared" si="27"/>
        <v>0</v>
      </c>
      <c r="M14" s="61">
        <f t="shared" si="27"/>
        <v>0</v>
      </c>
      <c r="N14" s="61">
        <f t="shared" si="27"/>
        <v>937.5</v>
      </c>
      <c r="O14" s="61">
        <f t="shared" si="27"/>
        <v>937.5</v>
      </c>
      <c r="P14" s="61">
        <f t="shared" si="27"/>
        <v>937.5</v>
      </c>
      <c r="Q14" s="61">
        <f t="shared" si="27"/>
        <v>937.5</v>
      </c>
      <c r="R14" s="61">
        <f t="shared" si="27"/>
        <v>937.5</v>
      </c>
      <c r="S14" s="61">
        <f t="shared" si="27"/>
        <v>937.5</v>
      </c>
      <c r="T14" s="61">
        <f t="shared" si="27"/>
        <v>937.5</v>
      </c>
      <c r="U14" s="61">
        <f t="shared" si="27"/>
        <v>937.5</v>
      </c>
      <c r="V14" s="61">
        <f t="shared" si="27"/>
        <v>937.5</v>
      </c>
      <c r="W14" s="61">
        <f t="shared" si="27"/>
        <v>937.5</v>
      </c>
      <c r="X14" s="61">
        <f t="shared" si="27"/>
        <v>937.5</v>
      </c>
      <c r="Y14" s="61">
        <f t="shared" si="27"/>
        <v>937.5</v>
      </c>
      <c r="Z14" s="61">
        <f t="shared" si="27"/>
        <v>625</v>
      </c>
      <c r="AA14" s="61">
        <f t="shared" si="27"/>
        <v>625</v>
      </c>
      <c r="AB14" s="61">
        <f t="shared" si="27"/>
        <v>625</v>
      </c>
      <c r="AC14" s="61">
        <f t="shared" si="27"/>
        <v>625</v>
      </c>
      <c r="AD14" s="61">
        <f t="shared" si="27"/>
        <v>625</v>
      </c>
      <c r="AE14" s="61">
        <f t="shared" si="27"/>
        <v>625</v>
      </c>
      <c r="AF14" s="61">
        <f t="shared" si="27"/>
        <v>625</v>
      </c>
      <c r="AG14" s="61">
        <f t="shared" si="27"/>
        <v>625</v>
      </c>
      <c r="AH14" s="61">
        <f t="shared" si="27"/>
        <v>625</v>
      </c>
      <c r="AI14" s="61">
        <f t="shared" si="27"/>
        <v>625</v>
      </c>
      <c r="AJ14" s="61">
        <f t="shared" si="27"/>
        <v>625</v>
      </c>
      <c r="AK14" s="61">
        <f t="shared" si="27"/>
        <v>625</v>
      </c>
      <c r="AL14" s="61">
        <f t="shared" si="27"/>
        <v>3437.5</v>
      </c>
      <c r="AM14" s="61">
        <f t="shared" si="27"/>
        <v>3437.5</v>
      </c>
      <c r="AN14" s="61">
        <f t="shared" si="27"/>
        <v>3437.5</v>
      </c>
      <c r="AO14" s="61">
        <f t="shared" si="27"/>
        <v>3437.5</v>
      </c>
      <c r="AP14" s="61">
        <f t="shared" si="27"/>
        <v>3437.5</v>
      </c>
      <c r="AQ14" s="61">
        <f t="shared" si="27"/>
        <v>3437.5</v>
      </c>
      <c r="AR14" s="61">
        <f t="shared" si="27"/>
        <v>3437.5</v>
      </c>
      <c r="AS14" s="61">
        <f t="shared" si="27"/>
        <v>3437.5</v>
      </c>
      <c r="AT14" s="61">
        <f t="shared" si="27"/>
        <v>3437.5</v>
      </c>
      <c r="AU14" s="61">
        <f t="shared" si="27"/>
        <v>3437.5</v>
      </c>
      <c r="AV14" s="61">
        <f t="shared" si="27"/>
        <v>3437.5</v>
      </c>
      <c r="AW14" s="61">
        <f t="shared" si="27"/>
        <v>3437.5</v>
      </c>
      <c r="AX14" s="61">
        <f t="shared" si="27"/>
        <v>2312.5</v>
      </c>
      <c r="AY14" s="61">
        <f t="shared" si="27"/>
        <v>2312.5</v>
      </c>
      <c r="AZ14" s="61">
        <f t="shared" si="27"/>
        <v>2312.5</v>
      </c>
      <c r="BA14" s="61">
        <f t="shared" si="27"/>
        <v>2312.5</v>
      </c>
      <c r="BB14" s="61">
        <f t="shared" si="27"/>
        <v>2312.5</v>
      </c>
      <c r="BC14" s="61">
        <f t="shared" si="27"/>
        <v>2312.5</v>
      </c>
      <c r="BD14" s="61">
        <f t="shared" si="27"/>
        <v>2312.5</v>
      </c>
      <c r="BE14" s="61">
        <f t="shared" si="27"/>
        <v>2312.5</v>
      </c>
      <c r="BF14" s="61">
        <f t="shared" si="27"/>
        <v>2312.5</v>
      </c>
      <c r="BG14" s="61">
        <f t="shared" si="27"/>
        <v>2312.5</v>
      </c>
      <c r="BH14" s="61">
        <f t="shared" si="27"/>
        <v>2312.5</v>
      </c>
      <c r="BI14" s="61">
        <f t="shared" si="27"/>
        <v>2312.5</v>
      </c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</row>
    <row r="15" spans="1:81">
      <c r="B15" s="39">
        <f>Premissas!B31</f>
        <v>0</v>
      </c>
      <c r="C15" s="39">
        <f t="shared" ref="C15:M15" si="28">B15</f>
        <v>0</v>
      </c>
      <c r="D15" s="39">
        <f t="shared" si="28"/>
        <v>0</v>
      </c>
      <c r="E15" s="39">
        <f t="shared" si="28"/>
        <v>0</v>
      </c>
      <c r="F15" s="39">
        <f t="shared" si="28"/>
        <v>0</v>
      </c>
      <c r="G15" s="39">
        <f t="shared" si="28"/>
        <v>0</v>
      </c>
      <c r="H15" s="39">
        <f t="shared" si="28"/>
        <v>0</v>
      </c>
      <c r="I15" s="39">
        <f t="shared" si="28"/>
        <v>0</v>
      </c>
      <c r="J15" s="39">
        <f t="shared" si="28"/>
        <v>0</v>
      </c>
      <c r="K15" s="39">
        <f t="shared" si="28"/>
        <v>0</v>
      </c>
      <c r="L15" s="39">
        <f t="shared" si="28"/>
        <v>0</v>
      </c>
      <c r="M15" s="39">
        <f t="shared" si="28"/>
        <v>0</v>
      </c>
      <c r="N15" s="39">
        <f>Premissas!C31</f>
        <v>12.5</v>
      </c>
      <c r="O15" s="39">
        <f t="shared" ref="O15:Y15" si="29">N15</f>
        <v>12.5</v>
      </c>
      <c r="P15" s="39">
        <f t="shared" si="29"/>
        <v>12.5</v>
      </c>
      <c r="Q15" s="39">
        <f t="shared" si="29"/>
        <v>12.5</v>
      </c>
      <c r="R15" s="39">
        <f t="shared" si="29"/>
        <v>12.5</v>
      </c>
      <c r="S15" s="39">
        <f t="shared" si="29"/>
        <v>12.5</v>
      </c>
      <c r="T15" s="39">
        <f t="shared" si="29"/>
        <v>12.5</v>
      </c>
      <c r="U15" s="39">
        <f t="shared" si="29"/>
        <v>12.5</v>
      </c>
      <c r="V15" s="39">
        <f t="shared" si="29"/>
        <v>12.5</v>
      </c>
      <c r="W15" s="39">
        <f t="shared" si="29"/>
        <v>12.5</v>
      </c>
      <c r="X15" s="39">
        <f t="shared" si="29"/>
        <v>12.5</v>
      </c>
      <c r="Y15" s="39">
        <f t="shared" si="29"/>
        <v>12.5</v>
      </c>
      <c r="Z15" s="39">
        <f>Premissas!D31</f>
        <v>8.3333333333333339</v>
      </c>
      <c r="AA15" s="39">
        <f t="shared" ref="AA15:AK15" si="30">Z15</f>
        <v>8.3333333333333339</v>
      </c>
      <c r="AB15" s="39">
        <f t="shared" si="30"/>
        <v>8.3333333333333339</v>
      </c>
      <c r="AC15" s="39">
        <f t="shared" si="30"/>
        <v>8.3333333333333339</v>
      </c>
      <c r="AD15" s="39">
        <f t="shared" si="30"/>
        <v>8.3333333333333339</v>
      </c>
      <c r="AE15" s="39">
        <f t="shared" si="30"/>
        <v>8.3333333333333339</v>
      </c>
      <c r="AF15" s="39">
        <f t="shared" si="30"/>
        <v>8.3333333333333339</v>
      </c>
      <c r="AG15" s="39">
        <f t="shared" si="30"/>
        <v>8.3333333333333339</v>
      </c>
      <c r="AH15" s="39">
        <f t="shared" si="30"/>
        <v>8.3333333333333339</v>
      </c>
      <c r="AI15" s="39">
        <f t="shared" si="30"/>
        <v>8.3333333333333339</v>
      </c>
      <c r="AJ15" s="39">
        <f t="shared" si="30"/>
        <v>8.3333333333333339</v>
      </c>
      <c r="AK15" s="39">
        <f t="shared" si="30"/>
        <v>8.3333333333333339</v>
      </c>
      <c r="AL15" s="39">
        <f>Premissas!E31</f>
        <v>45.833333333333336</v>
      </c>
      <c r="AM15" s="39">
        <f t="shared" ref="AM15:AW15" si="31">AL15</f>
        <v>45.833333333333336</v>
      </c>
      <c r="AN15" s="39">
        <f t="shared" si="31"/>
        <v>45.833333333333336</v>
      </c>
      <c r="AO15" s="39">
        <f t="shared" si="31"/>
        <v>45.833333333333336</v>
      </c>
      <c r="AP15" s="39">
        <f t="shared" si="31"/>
        <v>45.833333333333336</v>
      </c>
      <c r="AQ15" s="39">
        <f t="shared" si="31"/>
        <v>45.833333333333336</v>
      </c>
      <c r="AR15" s="39">
        <f t="shared" si="31"/>
        <v>45.833333333333336</v>
      </c>
      <c r="AS15" s="39">
        <f t="shared" si="31"/>
        <v>45.833333333333336</v>
      </c>
      <c r="AT15" s="39">
        <f t="shared" si="31"/>
        <v>45.833333333333336</v>
      </c>
      <c r="AU15" s="39">
        <f t="shared" si="31"/>
        <v>45.833333333333336</v>
      </c>
      <c r="AV15" s="39">
        <f t="shared" si="31"/>
        <v>45.833333333333336</v>
      </c>
      <c r="AW15" s="39">
        <f t="shared" si="31"/>
        <v>45.833333333333336</v>
      </c>
      <c r="AX15" s="39">
        <f>Premissas!F31</f>
        <v>30.833333333333332</v>
      </c>
      <c r="AY15" s="39">
        <f t="shared" ref="AY15:BI15" si="32">AX15</f>
        <v>30.833333333333332</v>
      </c>
      <c r="AZ15" s="39">
        <f t="shared" si="32"/>
        <v>30.833333333333332</v>
      </c>
      <c r="BA15" s="39">
        <f t="shared" si="32"/>
        <v>30.833333333333332</v>
      </c>
      <c r="BB15" s="39">
        <f t="shared" si="32"/>
        <v>30.833333333333332</v>
      </c>
      <c r="BC15" s="39">
        <f t="shared" si="32"/>
        <v>30.833333333333332</v>
      </c>
      <c r="BD15" s="39">
        <f t="shared" si="32"/>
        <v>30.833333333333332</v>
      </c>
      <c r="BE15" s="39">
        <f t="shared" si="32"/>
        <v>30.833333333333332</v>
      </c>
      <c r="BF15" s="39">
        <f t="shared" si="32"/>
        <v>30.833333333333332</v>
      </c>
      <c r="BG15" s="39">
        <f t="shared" si="32"/>
        <v>30.833333333333332</v>
      </c>
      <c r="BH15" s="39">
        <f t="shared" si="32"/>
        <v>30.833333333333332</v>
      </c>
      <c r="BI15" s="39">
        <f t="shared" si="32"/>
        <v>30.833333333333332</v>
      </c>
    </row>
    <row r="16" spans="1:81" ht="14.25" customHeight="1">
      <c r="A16" s="36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</row>
    <row r="17" spans="1:81" hidden="1"/>
    <row r="18" spans="1:81" ht="1.5" customHeight="1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</row>
    <row r="19" spans="1:81" ht="15.75">
      <c r="A19" s="73" t="s">
        <v>49</v>
      </c>
      <c r="B19" s="74">
        <f t="shared" ref="B19:BI19" si="33">B6+B14</f>
        <v>4875</v>
      </c>
      <c r="C19" s="74">
        <f t="shared" si="33"/>
        <v>4875</v>
      </c>
      <c r="D19" s="74">
        <f t="shared" si="33"/>
        <v>4875</v>
      </c>
      <c r="E19" s="74">
        <f t="shared" si="33"/>
        <v>4875</v>
      </c>
      <c r="F19" s="74">
        <f t="shared" si="33"/>
        <v>4875</v>
      </c>
      <c r="G19" s="74">
        <f t="shared" si="33"/>
        <v>4875</v>
      </c>
      <c r="H19" s="74">
        <f t="shared" si="33"/>
        <v>4875</v>
      </c>
      <c r="I19" s="74">
        <f t="shared" si="33"/>
        <v>4875</v>
      </c>
      <c r="J19" s="74">
        <f t="shared" si="33"/>
        <v>4875</v>
      </c>
      <c r="K19" s="74">
        <f t="shared" si="33"/>
        <v>4875</v>
      </c>
      <c r="L19" s="74">
        <f t="shared" si="33"/>
        <v>4875</v>
      </c>
      <c r="M19" s="74">
        <f t="shared" si="33"/>
        <v>4875</v>
      </c>
      <c r="N19" s="74">
        <f t="shared" si="33"/>
        <v>9062.5</v>
      </c>
      <c r="O19" s="74">
        <f t="shared" si="33"/>
        <v>9062.5</v>
      </c>
      <c r="P19" s="74">
        <f t="shared" si="33"/>
        <v>9062.5</v>
      </c>
      <c r="Q19" s="74">
        <f t="shared" si="33"/>
        <v>9062.5</v>
      </c>
      <c r="R19" s="74">
        <f t="shared" si="33"/>
        <v>9062.5</v>
      </c>
      <c r="S19" s="74">
        <f t="shared" si="33"/>
        <v>9062.5</v>
      </c>
      <c r="T19" s="74">
        <f t="shared" si="33"/>
        <v>9062.5</v>
      </c>
      <c r="U19" s="74">
        <f t="shared" si="33"/>
        <v>9062.5</v>
      </c>
      <c r="V19" s="74">
        <f t="shared" si="33"/>
        <v>9062.5</v>
      </c>
      <c r="W19" s="74">
        <f t="shared" si="33"/>
        <v>9062.5</v>
      </c>
      <c r="X19" s="74">
        <f t="shared" si="33"/>
        <v>9062.5</v>
      </c>
      <c r="Y19" s="74">
        <f t="shared" si="33"/>
        <v>6354.1666666666661</v>
      </c>
      <c r="Z19" s="74">
        <f t="shared" si="33"/>
        <v>6041.6666666666661</v>
      </c>
      <c r="AA19" s="74">
        <f t="shared" si="33"/>
        <v>6041.6666666666661</v>
      </c>
      <c r="AB19" s="74">
        <f t="shared" si="33"/>
        <v>6041.6666666666661</v>
      </c>
      <c r="AC19" s="74">
        <f t="shared" si="33"/>
        <v>6041.6666666666661</v>
      </c>
      <c r="AD19" s="74">
        <f t="shared" si="33"/>
        <v>6041.6666666666661</v>
      </c>
      <c r="AE19" s="74">
        <f t="shared" si="33"/>
        <v>6041.6666666666661</v>
      </c>
      <c r="AF19" s="74">
        <f t="shared" si="33"/>
        <v>6041.6666666666661</v>
      </c>
      <c r="AG19" s="74">
        <f t="shared" si="33"/>
        <v>6041.6666666666661</v>
      </c>
      <c r="AH19" s="74">
        <f t="shared" si="33"/>
        <v>6041.6666666666661</v>
      </c>
      <c r="AI19" s="74">
        <f t="shared" si="33"/>
        <v>6041.6666666666661</v>
      </c>
      <c r="AJ19" s="74">
        <f t="shared" si="33"/>
        <v>6041.6666666666661</v>
      </c>
      <c r="AK19" s="74">
        <f t="shared" si="33"/>
        <v>8750</v>
      </c>
      <c r="AL19" s="74">
        <f t="shared" si="33"/>
        <v>11562.5</v>
      </c>
      <c r="AM19" s="74">
        <f t="shared" si="33"/>
        <v>11562.5</v>
      </c>
      <c r="AN19" s="74">
        <f t="shared" si="33"/>
        <v>11562.5</v>
      </c>
      <c r="AO19" s="74">
        <f t="shared" si="33"/>
        <v>11562.5</v>
      </c>
      <c r="AP19" s="74">
        <f t="shared" si="33"/>
        <v>11562.5</v>
      </c>
      <c r="AQ19" s="74">
        <f t="shared" si="33"/>
        <v>11562.5</v>
      </c>
      <c r="AR19" s="74">
        <f t="shared" si="33"/>
        <v>11562.5</v>
      </c>
      <c r="AS19" s="74">
        <f t="shared" si="33"/>
        <v>11562.5</v>
      </c>
      <c r="AT19" s="74">
        <f t="shared" si="33"/>
        <v>11562.5</v>
      </c>
      <c r="AU19" s="74">
        <f t="shared" si="33"/>
        <v>11562.5</v>
      </c>
      <c r="AV19" s="74">
        <f t="shared" si="33"/>
        <v>11562.5</v>
      </c>
      <c r="AW19" s="74">
        <f t="shared" si="33"/>
        <v>11562.5</v>
      </c>
      <c r="AX19" s="74">
        <f t="shared" si="33"/>
        <v>8812.5</v>
      </c>
      <c r="AY19" s="74">
        <f t="shared" si="33"/>
        <v>8812.5</v>
      </c>
      <c r="AZ19" s="74">
        <f t="shared" si="33"/>
        <v>8812.5</v>
      </c>
      <c r="BA19" s="74">
        <f t="shared" si="33"/>
        <v>8812.5</v>
      </c>
      <c r="BB19" s="74">
        <f t="shared" si="33"/>
        <v>8812.5</v>
      </c>
      <c r="BC19" s="74">
        <f t="shared" si="33"/>
        <v>8812.5</v>
      </c>
      <c r="BD19" s="74">
        <f t="shared" si="33"/>
        <v>8812.5</v>
      </c>
      <c r="BE19" s="74">
        <f t="shared" si="33"/>
        <v>8812.5</v>
      </c>
      <c r="BF19" s="74">
        <f t="shared" si="33"/>
        <v>8812.5</v>
      </c>
      <c r="BG19" s="74">
        <f t="shared" si="33"/>
        <v>8812.5</v>
      </c>
      <c r="BH19" s="74">
        <f t="shared" si="33"/>
        <v>8812.5</v>
      </c>
      <c r="BI19" s="75">
        <f t="shared" si="33"/>
        <v>8812.5</v>
      </c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</row>
    <row r="20" spans="1:81">
      <c r="A20" s="36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</row>
    <row r="21" spans="1:81" ht="15.75" customHeight="1">
      <c r="A21" s="76" t="s">
        <v>50</v>
      </c>
      <c r="B21" s="77" t="s">
        <v>22</v>
      </c>
      <c r="C21" s="77" t="s">
        <v>23</v>
      </c>
      <c r="D21" s="77" t="s">
        <v>24</v>
      </c>
      <c r="E21" s="77" t="s">
        <v>25</v>
      </c>
      <c r="F21" s="77" t="s">
        <v>26</v>
      </c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</row>
    <row r="22" spans="1:81" ht="15.75" customHeight="1">
      <c r="A22" s="79" t="s">
        <v>51</v>
      </c>
      <c r="B22" s="80">
        <f>SUM(B6:M6)</f>
        <v>58500</v>
      </c>
      <c r="C22" s="80">
        <f>SUM(N5:Y5)</f>
        <v>94791.666666666672</v>
      </c>
      <c r="D22" s="80">
        <f>SUM(Z5:AK5)</f>
        <v>67708.333333333314</v>
      </c>
      <c r="E22" s="80">
        <f>SUM(AL5:AW5)</f>
        <v>97500</v>
      </c>
      <c r="F22" s="80">
        <f>SUM(AX5:BI5)</f>
        <v>78000</v>
      </c>
      <c r="G22" s="51"/>
      <c r="H22" s="51"/>
    </row>
    <row r="23" spans="1:81" ht="15.75" customHeight="1">
      <c r="A23" s="79" t="s">
        <v>52</v>
      </c>
      <c r="B23" s="80">
        <f>SUM(B10:M10)</f>
        <v>0</v>
      </c>
      <c r="C23" s="80">
        <f>SUM(N10:Y10)</f>
        <v>0</v>
      </c>
      <c r="D23" s="80">
        <f>SUM(Z10:AK10)</f>
        <v>0</v>
      </c>
      <c r="E23" s="80">
        <f>SUM(AL10:AW10)</f>
        <v>220000.00000000003</v>
      </c>
      <c r="F23" s="80">
        <f>SUM(AX10:BI10)</f>
        <v>137499.99999999997</v>
      </c>
      <c r="G23" s="51"/>
      <c r="H23" s="51"/>
    </row>
    <row r="24" spans="1:81" ht="15.75" customHeight="1">
      <c r="A24" s="218" t="s">
        <v>175</v>
      </c>
      <c r="B24" s="80">
        <f>SUM(B14:M14)</f>
        <v>0</v>
      </c>
      <c r="C24" s="80">
        <f>SUM(N14:Y14)</f>
        <v>11250</v>
      </c>
      <c r="D24" s="80">
        <f>SUM(Z14:AK14)</f>
        <v>7500</v>
      </c>
      <c r="E24" s="80">
        <f>SUM(AL14:AW14)</f>
        <v>41250</v>
      </c>
      <c r="F24" s="80">
        <f>SUM(AX14:BI14)</f>
        <v>27750</v>
      </c>
      <c r="G24" s="51"/>
      <c r="H24" s="51"/>
    </row>
    <row r="25" spans="1:81" ht="15.75" customHeight="1">
      <c r="A25" s="81" t="s">
        <v>53</v>
      </c>
      <c r="B25" s="82">
        <f t="shared" ref="B25:F25" si="34">SUM(B22:B24)</f>
        <v>58500</v>
      </c>
      <c r="C25" s="82">
        <f t="shared" si="34"/>
        <v>106041.66666666667</v>
      </c>
      <c r="D25" s="82">
        <f t="shared" si="34"/>
        <v>75208.333333333314</v>
      </c>
      <c r="E25" s="82">
        <f t="shared" si="34"/>
        <v>358750</v>
      </c>
      <c r="F25" s="82">
        <f t="shared" si="34"/>
        <v>243249.99999999997</v>
      </c>
    </row>
    <row r="26" spans="1:81" ht="15.75" customHeight="1"/>
    <row r="27" spans="1:81" ht="15.75" customHeight="1"/>
    <row r="28" spans="1:81" ht="15.75" customHeight="1"/>
    <row r="29" spans="1:81" ht="15.75" customHeight="1">
      <c r="I29" s="51"/>
    </row>
    <row r="30" spans="1:81" ht="15.75" customHeight="1"/>
    <row r="31" spans="1:81" ht="15.75" customHeight="1">
      <c r="L31" s="51"/>
    </row>
    <row r="32" spans="1:8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>
      <c r="A54" s="16" t="s">
        <v>54</v>
      </c>
    </row>
    <row r="55" spans="1:1" ht="15.75" customHeight="1">
      <c r="A55" s="16" t="s">
        <v>55</v>
      </c>
    </row>
    <row r="56" spans="1:1" ht="15.75" customHeight="1">
      <c r="A56" s="16" t="s">
        <v>56</v>
      </c>
    </row>
    <row r="57" spans="1:1" ht="15.75" customHeight="1">
      <c r="A57" s="16" t="s">
        <v>57</v>
      </c>
    </row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866141732283472" right="0.70866141732283472" top="0.74803149606299213" bottom="0.74803149606299213" header="0" footer="0"/>
  <pageSetup paperSize="9" scale="9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000"/>
  <sheetViews>
    <sheetView workbookViewId="0"/>
  </sheetViews>
  <sheetFormatPr defaultColWidth="14.42578125" defaultRowHeight="15" customHeight="1"/>
  <cols>
    <col min="1" max="1" width="49.85546875" customWidth="1"/>
    <col min="2" max="2" width="14.42578125" customWidth="1"/>
    <col min="3" max="4" width="12.42578125" customWidth="1"/>
    <col min="5" max="5" width="14.42578125" customWidth="1"/>
    <col min="6" max="6" width="12.5703125" customWidth="1"/>
    <col min="7" max="7" width="11.42578125" customWidth="1"/>
    <col min="8" max="8" width="12.85546875" customWidth="1"/>
    <col min="9" max="13" width="11.42578125" customWidth="1"/>
    <col min="14" max="14" width="12.7109375" customWidth="1"/>
    <col min="15" max="18" width="11.42578125" customWidth="1"/>
    <col min="19" max="19" width="13.7109375" customWidth="1"/>
    <col min="20" max="48" width="13.28515625" customWidth="1"/>
    <col min="49" max="49" width="16" customWidth="1"/>
    <col min="50" max="50" width="14.28515625" customWidth="1"/>
    <col min="51" max="61" width="13.28515625" customWidth="1"/>
    <col min="62" max="62" width="8.85546875" customWidth="1"/>
    <col min="63" max="63" width="11.42578125" customWidth="1"/>
    <col min="64" max="79" width="8.85546875" customWidth="1"/>
    <col min="80" max="80" width="11.42578125" customWidth="1"/>
    <col min="81" max="81" width="8.85546875" customWidth="1"/>
  </cols>
  <sheetData>
    <row r="1" spans="1:81" ht="18">
      <c r="A1" s="1" t="s">
        <v>58</v>
      </c>
    </row>
    <row r="2" spans="1:81">
      <c r="A2" s="6" t="str">
        <f>CONCATENATE(Company, ": ",start, " -  ",end)</f>
        <v>Histyle: Mês 1 -  Mês 60</v>
      </c>
    </row>
    <row r="4" spans="1:81" ht="15.75">
      <c r="A4" s="63" t="s">
        <v>59</v>
      </c>
      <c r="B4" s="64">
        <v>1</v>
      </c>
      <c r="C4" s="65">
        <v>2</v>
      </c>
      <c r="D4" s="64">
        <v>3</v>
      </c>
      <c r="E4" s="64">
        <v>4</v>
      </c>
      <c r="F4" s="65">
        <v>5</v>
      </c>
      <c r="G4" s="64">
        <v>6</v>
      </c>
      <c r="H4" s="64">
        <v>7</v>
      </c>
      <c r="I4" s="65">
        <v>8</v>
      </c>
      <c r="J4" s="64">
        <v>9</v>
      </c>
      <c r="K4" s="64">
        <v>10</v>
      </c>
      <c r="L4" s="65">
        <v>11</v>
      </c>
      <c r="M4" s="64">
        <v>12</v>
      </c>
      <c r="N4" s="64">
        <v>13</v>
      </c>
      <c r="O4" s="65">
        <v>14</v>
      </c>
      <c r="P4" s="64">
        <v>15</v>
      </c>
      <c r="Q4" s="64">
        <v>16</v>
      </c>
      <c r="R4" s="65">
        <v>17</v>
      </c>
      <c r="S4" s="64">
        <v>18</v>
      </c>
      <c r="T4" s="64">
        <v>19</v>
      </c>
      <c r="U4" s="65">
        <v>20</v>
      </c>
      <c r="V4" s="64">
        <v>21</v>
      </c>
      <c r="W4" s="64">
        <v>22</v>
      </c>
      <c r="X4" s="65">
        <v>23</v>
      </c>
      <c r="Y4" s="64">
        <v>24</v>
      </c>
      <c r="Z4" s="64">
        <v>25</v>
      </c>
      <c r="AA4" s="65">
        <v>26</v>
      </c>
      <c r="AB4" s="64">
        <v>27</v>
      </c>
      <c r="AC4" s="64">
        <v>28</v>
      </c>
      <c r="AD4" s="65">
        <v>29</v>
      </c>
      <c r="AE4" s="64">
        <v>30</v>
      </c>
      <c r="AF4" s="64">
        <v>31</v>
      </c>
      <c r="AG4" s="65">
        <v>32</v>
      </c>
      <c r="AH4" s="64">
        <v>33</v>
      </c>
      <c r="AI4" s="64">
        <v>34</v>
      </c>
      <c r="AJ4" s="65">
        <v>35</v>
      </c>
      <c r="AK4" s="64">
        <v>36</v>
      </c>
      <c r="AL4" s="64">
        <v>37</v>
      </c>
      <c r="AM4" s="65">
        <v>38</v>
      </c>
      <c r="AN4" s="64">
        <v>39</v>
      </c>
      <c r="AO4" s="64">
        <v>40</v>
      </c>
      <c r="AP4" s="65">
        <v>41</v>
      </c>
      <c r="AQ4" s="64">
        <v>42</v>
      </c>
      <c r="AR4" s="64">
        <v>43</v>
      </c>
      <c r="AS4" s="65">
        <v>44</v>
      </c>
      <c r="AT4" s="64">
        <v>45</v>
      </c>
      <c r="AU4" s="64">
        <v>46</v>
      </c>
      <c r="AV4" s="65">
        <v>47</v>
      </c>
      <c r="AW4" s="64">
        <v>48</v>
      </c>
      <c r="AX4" s="64">
        <v>49</v>
      </c>
      <c r="AY4" s="65">
        <v>50</v>
      </c>
      <c r="AZ4" s="64">
        <v>51</v>
      </c>
      <c r="BA4" s="64">
        <v>52</v>
      </c>
      <c r="BB4" s="65">
        <v>53</v>
      </c>
      <c r="BC4" s="64">
        <v>54</v>
      </c>
      <c r="BD4" s="64">
        <v>55</v>
      </c>
      <c r="BE4" s="65">
        <v>56</v>
      </c>
      <c r="BF4" s="64">
        <v>57</v>
      </c>
      <c r="BG4" s="64">
        <v>58</v>
      </c>
      <c r="BH4" s="65">
        <v>59</v>
      </c>
      <c r="BI4" s="66">
        <v>60</v>
      </c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</row>
    <row r="5" spans="1:81">
      <c r="A5" s="83" t="s">
        <v>60</v>
      </c>
      <c r="B5" s="69">
        <f>2000*Funcionários!B64</f>
        <v>6000</v>
      </c>
      <c r="C5" s="69">
        <v>0</v>
      </c>
      <c r="D5" s="69">
        <v>0</v>
      </c>
      <c r="E5" s="69">
        <v>0</v>
      </c>
      <c r="F5" s="69">
        <v>0</v>
      </c>
      <c r="G5" s="69">
        <v>0</v>
      </c>
      <c r="H5" s="69">
        <v>0</v>
      </c>
      <c r="I5" s="69">
        <v>0</v>
      </c>
      <c r="J5" s="69">
        <v>0</v>
      </c>
      <c r="K5" s="69">
        <v>0</v>
      </c>
      <c r="L5" s="69">
        <v>0</v>
      </c>
      <c r="M5" s="69">
        <v>0</v>
      </c>
      <c r="N5" s="69">
        <f>B5*0.2+(2000*(Funcionários!C64-Funcionários!B64))</f>
        <v>1200</v>
      </c>
      <c r="O5" s="69">
        <v>0</v>
      </c>
      <c r="P5" s="69">
        <v>0</v>
      </c>
      <c r="Q5" s="69">
        <v>0</v>
      </c>
      <c r="R5" s="69">
        <v>0</v>
      </c>
      <c r="S5" s="69">
        <v>0</v>
      </c>
      <c r="T5" s="69">
        <v>0</v>
      </c>
      <c r="U5" s="69">
        <v>0</v>
      </c>
      <c r="V5" s="69">
        <v>0</v>
      </c>
      <c r="W5" s="69">
        <v>0</v>
      </c>
      <c r="X5" s="69">
        <v>0</v>
      </c>
      <c r="Y5" s="69">
        <v>0</v>
      </c>
      <c r="Z5" s="69">
        <f>2000*Funcionários!C64*0.2+(2000*(Funcionários!D64-Funcionários!C64))</f>
        <v>1200</v>
      </c>
      <c r="AA5" s="69">
        <v>0</v>
      </c>
      <c r="AB5" s="69">
        <v>0</v>
      </c>
      <c r="AC5" s="69">
        <v>0</v>
      </c>
      <c r="AD5" s="69">
        <v>0</v>
      </c>
      <c r="AE5" s="69">
        <v>0</v>
      </c>
      <c r="AF5" s="69">
        <v>0</v>
      </c>
      <c r="AG5" s="69">
        <v>0</v>
      </c>
      <c r="AH5" s="69">
        <v>0</v>
      </c>
      <c r="AI5" s="69">
        <v>0</v>
      </c>
      <c r="AJ5" s="69">
        <v>0</v>
      </c>
      <c r="AK5" s="69">
        <v>0</v>
      </c>
      <c r="AL5" s="69">
        <f>2000*Funcionários!D64*0.2+(2000*(Funcionários!E64-Funcionários!D64))</f>
        <v>3200</v>
      </c>
      <c r="AM5" s="69">
        <v>0</v>
      </c>
      <c r="AN5" s="69">
        <v>0</v>
      </c>
      <c r="AO5" s="69">
        <v>0</v>
      </c>
      <c r="AP5" s="69">
        <v>0</v>
      </c>
      <c r="AQ5" s="69">
        <v>0</v>
      </c>
      <c r="AR5" s="69">
        <v>0</v>
      </c>
      <c r="AS5" s="69">
        <v>0</v>
      </c>
      <c r="AT5" s="69">
        <v>0</v>
      </c>
      <c r="AU5" s="69">
        <v>0</v>
      </c>
      <c r="AV5" s="69">
        <v>0</v>
      </c>
      <c r="AW5" s="69">
        <v>0</v>
      </c>
      <c r="AX5" s="69">
        <f>2000*Funcionários!E64*0.2+(2000*(Funcionários!F64-Funcionários!E64))</f>
        <v>3600</v>
      </c>
      <c r="AY5" s="69">
        <v>0</v>
      </c>
      <c r="AZ5" s="69">
        <v>0</v>
      </c>
      <c r="BA5" s="69">
        <v>0</v>
      </c>
      <c r="BB5" s="69">
        <v>0</v>
      </c>
      <c r="BC5" s="69">
        <v>0</v>
      </c>
      <c r="BD5" s="69">
        <v>0</v>
      </c>
      <c r="BE5" s="69">
        <v>0</v>
      </c>
      <c r="BF5" s="69">
        <v>0</v>
      </c>
      <c r="BG5" s="69">
        <v>0</v>
      </c>
      <c r="BH5" s="69">
        <v>0</v>
      </c>
      <c r="BI5" s="69">
        <v>0</v>
      </c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</row>
    <row r="6" spans="1:81">
      <c r="A6" s="84" t="s">
        <v>40</v>
      </c>
      <c r="B6" s="61">
        <f t="shared" ref="B6:BI6" si="0">SUM(B5)</f>
        <v>6000</v>
      </c>
      <c r="C6" s="61">
        <f t="shared" si="0"/>
        <v>0</v>
      </c>
      <c r="D6" s="61">
        <f t="shared" si="0"/>
        <v>0</v>
      </c>
      <c r="E6" s="61">
        <f t="shared" si="0"/>
        <v>0</v>
      </c>
      <c r="F6" s="61">
        <f t="shared" si="0"/>
        <v>0</v>
      </c>
      <c r="G6" s="61">
        <f t="shared" si="0"/>
        <v>0</v>
      </c>
      <c r="H6" s="61">
        <f t="shared" si="0"/>
        <v>0</v>
      </c>
      <c r="I6" s="61">
        <f t="shared" si="0"/>
        <v>0</v>
      </c>
      <c r="J6" s="61">
        <f t="shared" si="0"/>
        <v>0</v>
      </c>
      <c r="K6" s="61">
        <f t="shared" si="0"/>
        <v>0</v>
      </c>
      <c r="L6" s="61">
        <f t="shared" si="0"/>
        <v>0</v>
      </c>
      <c r="M6" s="61">
        <f t="shared" si="0"/>
        <v>0</v>
      </c>
      <c r="N6" s="61">
        <f t="shared" si="0"/>
        <v>1200</v>
      </c>
      <c r="O6" s="61">
        <f t="shared" si="0"/>
        <v>0</v>
      </c>
      <c r="P6" s="61">
        <f t="shared" si="0"/>
        <v>0</v>
      </c>
      <c r="Q6" s="61">
        <f t="shared" si="0"/>
        <v>0</v>
      </c>
      <c r="R6" s="61">
        <f t="shared" si="0"/>
        <v>0</v>
      </c>
      <c r="S6" s="61">
        <f t="shared" si="0"/>
        <v>0</v>
      </c>
      <c r="T6" s="61">
        <f t="shared" si="0"/>
        <v>0</v>
      </c>
      <c r="U6" s="61">
        <f t="shared" si="0"/>
        <v>0</v>
      </c>
      <c r="V6" s="61">
        <f t="shared" si="0"/>
        <v>0</v>
      </c>
      <c r="W6" s="61">
        <f t="shared" si="0"/>
        <v>0</v>
      </c>
      <c r="X6" s="61">
        <f t="shared" si="0"/>
        <v>0</v>
      </c>
      <c r="Y6" s="61">
        <f t="shared" si="0"/>
        <v>0</v>
      </c>
      <c r="Z6" s="61">
        <f t="shared" si="0"/>
        <v>1200</v>
      </c>
      <c r="AA6" s="61">
        <f t="shared" si="0"/>
        <v>0</v>
      </c>
      <c r="AB6" s="61">
        <f t="shared" si="0"/>
        <v>0</v>
      </c>
      <c r="AC6" s="61">
        <f t="shared" si="0"/>
        <v>0</v>
      </c>
      <c r="AD6" s="61">
        <f t="shared" si="0"/>
        <v>0</v>
      </c>
      <c r="AE6" s="61">
        <f t="shared" si="0"/>
        <v>0</v>
      </c>
      <c r="AF6" s="61">
        <f t="shared" si="0"/>
        <v>0</v>
      </c>
      <c r="AG6" s="61">
        <f t="shared" si="0"/>
        <v>0</v>
      </c>
      <c r="AH6" s="61">
        <f t="shared" si="0"/>
        <v>0</v>
      </c>
      <c r="AI6" s="61">
        <f t="shared" si="0"/>
        <v>0</v>
      </c>
      <c r="AJ6" s="61">
        <f t="shared" si="0"/>
        <v>0</v>
      </c>
      <c r="AK6" s="61">
        <f t="shared" si="0"/>
        <v>0</v>
      </c>
      <c r="AL6" s="61">
        <f t="shared" si="0"/>
        <v>3200</v>
      </c>
      <c r="AM6" s="61">
        <f t="shared" si="0"/>
        <v>0</v>
      </c>
      <c r="AN6" s="61">
        <f t="shared" si="0"/>
        <v>0</v>
      </c>
      <c r="AO6" s="61">
        <f t="shared" si="0"/>
        <v>0</v>
      </c>
      <c r="AP6" s="61">
        <f t="shared" si="0"/>
        <v>0</v>
      </c>
      <c r="AQ6" s="61">
        <f t="shared" si="0"/>
        <v>0</v>
      </c>
      <c r="AR6" s="61">
        <f t="shared" si="0"/>
        <v>0</v>
      </c>
      <c r="AS6" s="61">
        <f t="shared" si="0"/>
        <v>0</v>
      </c>
      <c r="AT6" s="61">
        <f t="shared" si="0"/>
        <v>0</v>
      </c>
      <c r="AU6" s="61">
        <f t="shared" si="0"/>
        <v>0</v>
      </c>
      <c r="AV6" s="61">
        <f t="shared" si="0"/>
        <v>0</v>
      </c>
      <c r="AW6" s="61">
        <f t="shared" si="0"/>
        <v>0</v>
      </c>
      <c r="AX6" s="61">
        <f t="shared" si="0"/>
        <v>3600</v>
      </c>
      <c r="AY6" s="61">
        <f t="shared" si="0"/>
        <v>0</v>
      </c>
      <c r="AZ6" s="61">
        <f t="shared" si="0"/>
        <v>0</v>
      </c>
      <c r="BA6" s="61">
        <f t="shared" si="0"/>
        <v>0</v>
      </c>
      <c r="BB6" s="61">
        <f t="shared" si="0"/>
        <v>0</v>
      </c>
      <c r="BC6" s="61">
        <f t="shared" si="0"/>
        <v>0</v>
      </c>
      <c r="BD6" s="61">
        <f t="shared" si="0"/>
        <v>0</v>
      </c>
      <c r="BE6" s="61">
        <f t="shared" si="0"/>
        <v>0</v>
      </c>
      <c r="BF6" s="61">
        <f t="shared" si="0"/>
        <v>0</v>
      </c>
      <c r="BG6" s="61">
        <f t="shared" si="0"/>
        <v>0</v>
      </c>
      <c r="BH6" s="61">
        <f t="shared" si="0"/>
        <v>0</v>
      </c>
      <c r="BI6" s="61">
        <f t="shared" si="0"/>
        <v>0</v>
      </c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</row>
    <row r="8" spans="1:81">
      <c r="A8" s="85" t="s">
        <v>59</v>
      </c>
      <c r="B8" s="86" t="s">
        <v>22</v>
      </c>
      <c r="C8" s="86" t="s">
        <v>23</v>
      </c>
      <c r="D8" s="86" t="s">
        <v>24</v>
      </c>
      <c r="E8" s="86" t="s">
        <v>25</v>
      </c>
      <c r="F8" s="87" t="s">
        <v>26</v>
      </c>
    </row>
    <row r="9" spans="1:81">
      <c r="A9" s="83" t="s">
        <v>60</v>
      </c>
      <c r="B9" s="88">
        <f>SUM(B5:M5)</f>
        <v>6000</v>
      </c>
      <c r="C9" s="88">
        <f>SUM(N5:Y5)</f>
        <v>1200</v>
      </c>
      <c r="D9" s="88">
        <f>SUM( Z5:AK5)</f>
        <v>1200</v>
      </c>
      <c r="E9" s="88">
        <f>SUM(AL5:AW5)</f>
        <v>3200</v>
      </c>
      <c r="F9" s="88">
        <f>SUM(AX5:BI5)</f>
        <v>3600</v>
      </c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</row>
    <row r="10" spans="1:81">
      <c r="A10" s="89" t="s">
        <v>40</v>
      </c>
      <c r="B10" s="90">
        <f t="shared" ref="B10:F10" si="1">SUM(B9)</f>
        <v>6000</v>
      </c>
      <c r="C10" s="90">
        <f t="shared" si="1"/>
        <v>1200</v>
      </c>
      <c r="D10" s="90">
        <f t="shared" si="1"/>
        <v>1200</v>
      </c>
      <c r="E10" s="90">
        <f t="shared" si="1"/>
        <v>3200</v>
      </c>
      <c r="F10" s="90">
        <f t="shared" si="1"/>
        <v>3600</v>
      </c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866141732283472" right="0.70866141732283472" top="0.74803149606299213" bottom="0.74803149606299213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1000"/>
  <sheetViews>
    <sheetView workbookViewId="0"/>
  </sheetViews>
  <sheetFormatPr defaultColWidth="14.42578125" defaultRowHeight="15" customHeight="1"/>
  <cols>
    <col min="1" max="1" width="61.42578125" customWidth="1"/>
    <col min="2" max="2" width="13.85546875" customWidth="1"/>
    <col min="3" max="3" width="15.5703125" customWidth="1"/>
    <col min="4" max="4" width="15.7109375" customWidth="1"/>
    <col min="5" max="5" width="16.140625" customWidth="1"/>
    <col min="6" max="6" width="14.7109375" customWidth="1"/>
    <col min="7" max="13" width="10.85546875" customWidth="1"/>
    <col min="14" max="14" width="12.85546875" customWidth="1"/>
    <col min="15" max="16" width="13.42578125" customWidth="1"/>
    <col min="17" max="17" width="14.28515625" customWidth="1"/>
    <col min="18" max="19" width="12.28515625" customWidth="1"/>
    <col min="20" max="20" width="13.7109375" customWidth="1"/>
    <col min="21" max="21" width="13.85546875" customWidth="1"/>
    <col min="22" max="24" width="14.5703125" customWidth="1"/>
    <col min="25" max="25" width="14.140625" customWidth="1"/>
    <col min="26" max="26" width="13.7109375" customWidth="1"/>
    <col min="27" max="27" width="14.140625" customWidth="1"/>
    <col min="28" max="28" width="13.85546875" customWidth="1"/>
    <col min="29" max="29" width="13.140625" customWidth="1"/>
    <col min="30" max="30" width="14.85546875" customWidth="1"/>
    <col min="31" max="31" width="12.85546875" customWidth="1"/>
    <col min="32" max="32" width="12.28515625" customWidth="1"/>
    <col min="33" max="33" width="13.7109375" customWidth="1"/>
    <col min="34" max="34" width="14.42578125" customWidth="1"/>
    <col min="35" max="35" width="14.85546875" customWidth="1"/>
    <col min="36" max="36" width="13.140625" customWidth="1"/>
    <col min="37" max="37" width="13.42578125" customWidth="1"/>
    <col min="38" max="38" width="13.7109375" customWidth="1"/>
    <col min="39" max="39" width="13" customWidth="1"/>
    <col min="40" max="40" width="13.140625" customWidth="1"/>
    <col min="41" max="41" width="15.85546875" customWidth="1"/>
    <col min="42" max="42" width="13.7109375" customWidth="1"/>
    <col min="43" max="43" width="14.140625" customWidth="1"/>
    <col min="44" max="44" width="13.7109375" customWidth="1"/>
    <col min="45" max="45" width="14.42578125" customWidth="1"/>
    <col min="46" max="46" width="14.140625" customWidth="1"/>
    <col min="47" max="47" width="13.85546875" customWidth="1"/>
    <col min="48" max="48" width="14.85546875" customWidth="1"/>
    <col min="49" max="49" width="14.5703125" customWidth="1"/>
    <col min="50" max="50" width="14.42578125" customWidth="1"/>
    <col min="51" max="51" width="13.85546875" customWidth="1"/>
    <col min="52" max="52" width="13.5703125" customWidth="1"/>
    <col min="53" max="53" width="16.5703125" customWidth="1"/>
    <col min="54" max="54" width="14.140625" customWidth="1"/>
    <col min="55" max="55" width="14.5703125" customWidth="1"/>
    <col min="56" max="56" width="13" customWidth="1"/>
    <col min="57" max="57" width="14.42578125" customWidth="1"/>
    <col min="58" max="58" width="15.140625" customWidth="1"/>
    <col min="59" max="59" width="13.85546875" customWidth="1"/>
    <col min="60" max="60" width="12.28515625" customWidth="1"/>
    <col min="61" max="61" width="13" customWidth="1"/>
    <col min="62" max="62" width="15.42578125" customWidth="1"/>
    <col min="63" max="63" width="11.42578125" customWidth="1"/>
    <col min="64" max="64" width="13.42578125" customWidth="1"/>
    <col min="65" max="72" width="9.5703125" customWidth="1"/>
    <col min="73" max="73" width="13" customWidth="1"/>
    <col min="74" max="74" width="16.28515625" customWidth="1"/>
    <col min="75" max="75" width="10.5703125" customWidth="1"/>
    <col min="76" max="82" width="9.5703125" customWidth="1"/>
  </cols>
  <sheetData>
    <row r="1" spans="1:82" ht="18">
      <c r="A1" s="1" t="s">
        <v>61</v>
      </c>
    </row>
    <row r="2" spans="1:82">
      <c r="A2" s="6" t="str">
        <f>CONCATENATE(Company, ": ",start, " -  ",end)</f>
        <v>Histyle: Mês 1 -  Mês 60</v>
      </c>
    </row>
    <row r="3" spans="1:82" ht="15.75">
      <c r="A3" s="63" t="s">
        <v>62</v>
      </c>
      <c r="B3" s="64">
        <v>1</v>
      </c>
      <c r="C3" s="65">
        <v>2</v>
      </c>
      <c r="D3" s="64">
        <v>3</v>
      </c>
      <c r="E3" s="64">
        <v>4</v>
      </c>
      <c r="F3" s="65">
        <v>5</v>
      </c>
      <c r="G3" s="64">
        <v>6</v>
      </c>
      <c r="H3" s="64">
        <v>7</v>
      </c>
      <c r="I3" s="65">
        <v>8</v>
      </c>
      <c r="J3" s="64">
        <v>9</v>
      </c>
      <c r="K3" s="64">
        <v>10</v>
      </c>
      <c r="L3" s="65">
        <v>11</v>
      </c>
      <c r="M3" s="64">
        <v>12</v>
      </c>
      <c r="N3" s="64">
        <v>13</v>
      </c>
      <c r="O3" s="65">
        <v>14</v>
      </c>
      <c r="P3" s="64">
        <v>15</v>
      </c>
      <c r="Q3" s="64">
        <v>16</v>
      </c>
      <c r="R3" s="65">
        <v>17</v>
      </c>
      <c r="S3" s="64">
        <v>18</v>
      </c>
      <c r="T3" s="64">
        <v>19</v>
      </c>
      <c r="U3" s="65">
        <v>20</v>
      </c>
      <c r="V3" s="64">
        <v>21</v>
      </c>
      <c r="W3" s="64">
        <v>22</v>
      </c>
      <c r="X3" s="65">
        <v>23</v>
      </c>
      <c r="Y3" s="64">
        <v>24</v>
      </c>
      <c r="Z3" s="64">
        <v>25</v>
      </c>
      <c r="AA3" s="65">
        <v>26</v>
      </c>
      <c r="AB3" s="64">
        <v>27</v>
      </c>
      <c r="AC3" s="64">
        <v>28</v>
      </c>
      <c r="AD3" s="65">
        <v>29</v>
      </c>
      <c r="AE3" s="64">
        <v>30</v>
      </c>
      <c r="AF3" s="64">
        <v>31</v>
      </c>
      <c r="AG3" s="65">
        <v>32</v>
      </c>
      <c r="AH3" s="64">
        <v>33</v>
      </c>
      <c r="AI3" s="64">
        <v>34</v>
      </c>
      <c r="AJ3" s="65">
        <v>35</v>
      </c>
      <c r="AK3" s="64">
        <v>36</v>
      </c>
      <c r="AL3" s="64">
        <v>37</v>
      </c>
      <c r="AM3" s="65">
        <v>38</v>
      </c>
      <c r="AN3" s="64">
        <v>39</v>
      </c>
      <c r="AO3" s="64">
        <v>40</v>
      </c>
      <c r="AP3" s="65">
        <v>41</v>
      </c>
      <c r="AQ3" s="64">
        <v>42</v>
      </c>
      <c r="AR3" s="64">
        <v>43</v>
      </c>
      <c r="AS3" s="65">
        <v>44</v>
      </c>
      <c r="AT3" s="64">
        <v>45</v>
      </c>
      <c r="AU3" s="64">
        <v>46</v>
      </c>
      <c r="AV3" s="65">
        <v>47</v>
      </c>
      <c r="AW3" s="64">
        <v>48</v>
      </c>
      <c r="AX3" s="64">
        <v>49</v>
      </c>
      <c r="AY3" s="65">
        <v>50</v>
      </c>
      <c r="AZ3" s="64">
        <v>51</v>
      </c>
      <c r="BA3" s="64">
        <v>52</v>
      </c>
      <c r="BB3" s="65">
        <v>53</v>
      </c>
      <c r="BC3" s="64">
        <v>54</v>
      </c>
      <c r="BD3" s="64">
        <v>55</v>
      </c>
      <c r="BE3" s="65">
        <v>56</v>
      </c>
      <c r="BF3" s="64">
        <v>57</v>
      </c>
      <c r="BG3" s="64">
        <v>58</v>
      </c>
      <c r="BH3" s="65">
        <v>59</v>
      </c>
      <c r="BI3" s="66">
        <v>60</v>
      </c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</row>
    <row r="4" spans="1:82">
      <c r="A4" s="91" t="s">
        <v>63</v>
      </c>
      <c r="B4" s="69">
        <v>130</v>
      </c>
      <c r="C4" s="69">
        <f t="shared" ref="C4:M4" si="0">B4</f>
        <v>130</v>
      </c>
      <c r="D4" s="69">
        <f t="shared" si="0"/>
        <v>130</v>
      </c>
      <c r="E4" s="69">
        <f t="shared" si="0"/>
        <v>130</v>
      </c>
      <c r="F4" s="69">
        <f t="shared" si="0"/>
        <v>130</v>
      </c>
      <c r="G4" s="69">
        <f t="shared" si="0"/>
        <v>130</v>
      </c>
      <c r="H4" s="69">
        <f t="shared" si="0"/>
        <v>130</v>
      </c>
      <c r="I4" s="69">
        <f t="shared" si="0"/>
        <v>130</v>
      </c>
      <c r="J4" s="69">
        <f t="shared" si="0"/>
        <v>130</v>
      </c>
      <c r="K4" s="69">
        <f t="shared" si="0"/>
        <v>130</v>
      </c>
      <c r="L4" s="69">
        <f t="shared" si="0"/>
        <v>130</v>
      </c>
      <c r="M4" s="69">
        <f t="shared" si="0"/>
        <v>130</v>
      </c>
      <c r="N4" s="69">
        <f t="shared" ref="N4:N5" si="1">M4*1.06</f>
        <v>137.80000000000001</v>
      </c>
      <c r="O4" s="69">
        <f t="shared" ref="O4:Y4" si="2">N4</f>
        <v>137.80000000000001</v>
      </c>
      <c r="P4" s="69">
        <f t="shared" si="2"/>
        <v>137.80000000000001</v>
      </c>
      <c r="Q4" s="69">
        <f t="shared" si="2"/>
        <v>137.80000000000001</v>
      </c>
      <c r="R4" s="69">
        <f t="shared" si="2"/>
        <v>137.80000000000001</v>
      </c>
      <c r="S4" s="69">
        <f t="shared" si="2"/>
        <v>137.80000000000001</v>
      </c>
      <c r="T4" s="69">
        <f t="shared" si="2"/>
        <v>137.80000000000001</v>
      </c>
      <c r="U4" s="69">
        <f t="shared" si="2"/>
        <v>137.80000000000001</v>
      </c>
      <c r="V4" s="69">
        <f t="shared" si="2"/>
        <v>137.80000000000001</v>
      </c>
      <c r="W4" s="69">
        <f t="shared" si="2"/>
        <v>137.80000000000001</v>
      </c>
      <c r="X4" s="69">
        <f t="shared" si="2"/>
        <v>137.80000000000001</v>
      </c>
      <c r="Y4" s="69">
        <f t="shared" si="2"/>
        <v>137.80000000000001</v>
      </c>
      <c r="Z4" s="69">
        <f t="shared" ref="Z4:Z6" si="3">Y4*1.06</f>
        <v>146.06800000000001</v>
      </c>
      <c r="AA4" s="69">
        <f t="shared" ref="AA4:AK4" si="4">Z4</f>
        <v>146.06800000000001</v>
      </c>
      <c r="AB4" s="69">
        <f t="shared" si="4"/>
        <v>146.06800000000001</v>
      </c>
      <c r="AC4" s="69">
        <f t="shared" si="4"/>
        <v>146.06800000000001</v>
      </c>
      <c r="AD4" s="69">
        <f t="shared" si="4"/>
        <v>146.06800000000001</v>
      </c>
      <c r="AE4" s="69">
        <f t="shared" si="4"/>
        <v>146.06800000000001</v>
      </c>
      <c r="AF4" s="69">
        <f t="shared" si="4"/>
        <v>146.06800000000001</v>
      </c>
      <c r="AG4" s="69">
        <f t="shared" si="4"/>
        <v>146.06800000000001</v>
      </c>
      <c r="AH4" s="69">
        <f t="shared" si="4"/>
        <v>146.06800000000001</v>
      </c>
      <c r="AI4" s="69">
        <f t="shared" si="4"/>
        <v>146.06800000000001</v>
      </c>
      <c r="AJ4" s="69">
        <f t="shared" si="4"/>
        <v>146.06800000000001</v>
      </c>
      <c r="AK4" s="69">
        <f t="shared" si="4"/>
        <v>146.06800000000001</v>
      </c>
      <c r="AL4" s="69">
        <f t="shared" ref="AL4:AL5" si="5">AK4*1.06</f>
        <v>154.83208000000002</v>
      </c>
      <c r="AM4" s="69">
        <f t="shared" ref="AM4:AW4" si="6">AL4</f>
        <v>154.83208000000002</v>
      </c>
      <c r="AN4" s="69">
        <f t="shared" si="6"/>
        <v>154.83208000000002</v>
      </c>
      <c r="AO4" s="69">
        <f t="shared" si="6"/>
        <v>154.83208000000002</v>
      </c>
      <c r="AP4" s="69">
        <f t="shared" si="6"/>
        <v>154.83208000000002</v>
      </c>
      <c r="AQ4" s="69">
        <f t="shared" si="6"/>
        <v>154.83208000000002</v>
      </c>
      <c r="AR4" s="69">
        <f t="shared" si="6"/>
        <v>154.83208000000002</v>
      </c>
      <c r="AS4" s="69">
        <f t="shared" si="6"/>
        <v>154.83208000000002</v>
      </c>
      <c r="AT4" s="69">
        <f t="shared" si="6"/>
        <v>154.83208000000002</v>
      </c>
      <c r="AU4" s="69">
        <f t="shared" si="6"/>
        <v>154.83208000000002</v>
      </c>
      <c r="AV4" s="69">
        <f t="shared" si="6"/>
        <v>154.83208000000002</v>
      </c>
      <c r="AW4" s="69">
        <f t="shared" si="6"/>
        <v>154.83208000000002</v>
      </c>
      <c r="AX4" s="69">
        <f>AW4*1.06</f>
        <v>164.12200480000004</v>
      </c>
      <c r="AY4" s="69">
        <f t="shared" ref="AY4:BI4" si="7">AX4</f>
        <v>164.12200480000004</v>
      </c>
      <c r="AZ4" s="69">
        <f t="shared" si="7"/>
        <v>164.12200480000004</v>
      </c>
      <c r="BA4" s="69">
        <f t="shared" si="7"/>
        <v>164.12200480000004</v>
      </c>
      <c r="BB4" s="69">
        <f t="shared" si="7"/>
        <v>164.12200480000004</v>
      </c>
      <c r="BC4" s="69">
        <f t="shared" si="7"/>
        <v>164.12200480000004</v>
      </c>
      <c r="BD4" s="69">
        <f t="shared" si="7"/>
        <v>164.12200480000004</v>
      </c>
      <c r="BE4" s="69">
        <f t="shared" si="7"/>
        <v>164.12200480000004</v>
      </c>
      <c r="BF4" s="69">
        <f t="shared" si="7"/>
        <v>164.12200480000004</v>
      </c>
      <c r="BG4" s="69">
        <f t="shared" si="7"/>
        <v>164.12200480000004</v>
      </c>
      <c r="BH4" s="69">
        <f t="shared" si="7"/>
        <v>164.12200480000004</v>
      </c>
      <c r="BI4" s="69">
        <f t="shared" si="7"/>
        <v>164.12200480000004</v>
      </c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</row>
    <row r="5" spans="1:82">
      <c r="A5" s="92" t="s">
        <v>64</v>
      </c>
      <c r="B5" s="93">
        <v>655</v>
      </c>
      <c r="C5" s="69">
        <v>0</v>
      </c>
      <c r="D5" s="69">
        <f t="shared" ref="D5:M5" si="8">C5</f>
        <v>0</v>
      </c>
      <c r="E5" s="69">
        <f t="shared" si="8"/>
        <v>0</v>
      </c>
      <c r="F5" s="69">
        <f t="shared" si="8"/>
        <v>0</v>
      </c>
      <c r="G5" s="69">
        <f t="shared" si="8"/>
        <v>0</v>
      </c>
      <c r="H5" s="69">
        <f t="shared" si="8"/>
        <v>0</v>
      </c>
      <c r="I5" s="69">
        <f t="shared" si="8"/>
        <v>0</v>
      </c>
      <c r="J5" s="69">
        <f t="shared" si="8"/>
        <v>0</v>
      </c>
      <c r="K5" s="69">
        <f t="shared" si="8"/>
        <v>0</v>
      </c>
      <c r="L5" s="69">
        <f t="shared" si="8"/>
        <v>0</v>
      </c>
      <c r="M5" s="69">
        <f t="shared" si="8"/>
        <v>0</v>
      </c>
      <c r="N5" s="69">
        <f t="shared" si="1"/>
        <v>0</v>
      </c>
      <c r="O5" s="69">
        <f t="shared" ref="O5:Y5" si="9">N5</f>
        <v>0</v>
      </c>
      <c r="P5" s="69">
        <f t="shared" si="9"/>
        <v>0</v>
      </c>
      <c r="Q5" s="69">
        <f t="shared" si="9"/>
        <v>0</v>
      </c>
      <c r="R5" s="69">
        <f t="shared" si="9"/>
        <v>0</v>
      </c>
      <c r="S5" s="69">
        <f t="shared" si="9"/>
        <v>0</v>
      </c>
      <c r="T5" s="69">
        <f t="shared" si="9"/>
        <v>0</v>
      </c>
      <c r="U5" s="69">
        <f t="shared" si="9"/>
        <v>0</v>
      </c>
      <c r="V5" s="69">
        <f t="shared" si="9"/>
        <v>0</v>
      </c>
      <c r="W5" s="69">
        <f t="shared" si="9"/>
        <v>0</v>
      </c>
      <c r="X5" s="69">
        <f t="shared" si="9"/>
        <v>0</v>
      </c>
      <c r="Y5" s="69">
        <f t="shared" si="9"/>
        <v>0</v>
      </c>
      <c r="Z5" s="69">
        <f t="shared" si="3"/>
        <v>0</v>
      </c>
      <c r="AA5" s="69">
        <f t="shared" ref="AA5:AK5" si="10">Z5</f>
        <v>0</v>
      </c>
      <c r="AB5" s="69">
        <f t="shared" si="10"/>
        <v>0</v>
      </c>
      <c r="AC5" s="69">
        <f t="shared" si="10"/>
        <v>0</v>
      </c>
      <c r="AD5" s="69">
        <f t="shared" si="10"/>
        <v>0</v>
      </c>
      <c r="AE5" s="69">
        <f t="shared" si="10"/>
        <v>0</v>
      </c>
      <c r="AF5" s="69">
        <f t="shared" si="10"/>
        <v>0</v>
      </c>
      <c r="AG5" s="69">
        <f t="shared" si="10"/>
        <v>0</v>
      </c>
      <c r="AH5" s="69">
        <f t="shared" si="10"/>
        <v>0</v>
      </c>
      <c r="AI5" s="69">
        <f t="shared" si="10"/>
        <v>0</v>
      </c>
      <c r="AJ5" s="69">
        <f t="shared" si="10"/>
        <v>0</v>
      </c>
      <c r="AK5" s="69">
        <f t="shared" si="10"/>
        <v>0</v>
      </c>
      <c r="AL5" s="69">
        <f t="shared" si="5"/>
        <v>0</v>
      </c>
      <c r="AM5" s="69">
        <f t="shared" ref="AM5:AW5" si="11">AL5</f>
        <v>0</v>
      </c>
      <c r="AN5" s="69">
        <f t="shared" si="11"/>
        <v>0</v>
      </c>
      <c r="AO5" s="69">
        <f t="shared" si="11"/>
        <v>0</v>
      </c>
      <c r="AP5" s="69">
        <f t="shared" si="11"/>
        <v>0</v>
      </c>
      <c r="AQ5" s="69">
        <f t="shared" si="11"/>
        <v>0</v>
      </c>
      <c r="AR5" s="69">
        <f t="shared" si="11"/>
        <v>0</v>
      </c>
      <c r="AS5" s="69">
        <f t="shared" si="11"/>
        <v>0</v>
      </c>
      <c r="AT5" s="69">
        <f t="shared" si="11"/>
        <v>0</v>
      </c>
      <c r="AU5" s="69">
        <f t="shared" si="11"/>
        <v>0</v>
      </c>
      <c r="AV5" s="69">
        <f t="shared" si="11"/>
        <v>0</v>
      </c>
      <c r="AW5" s="69">
        <f t="shared" si="11"/>
        <v>0</v>
      </c>
      <c r="AX5" s="69">
        <v>0</v>
      </c>
      <c r="AY5" s="69">
        <f t="shared" ref="AY5:BI5" si="12">AX5</f>
        <v>0</v>
      </c>
      <c r="AZ5" s="69">
        <f t="shared" si="12"/>
        <v>0</v>
      </c>
      <c r="BA5" s="69">
        <f t="shared" si="12"/>
        <v>0</v>
      </c>
      <c r="BB5" s="69">
        <f t="shared" si="12"/>
        <v>0</v>
      </c>
      <c r="BC5" s="69">
        <f t="shared" si="12"/>
        <v>0</v>
      </c>
      <c r="BD5" s="69">
        <f t="shared" si="12"/>
        <v>0</v>
      </c>
      <c r="BE5" s="69">
        <f t="shared" si="12"/>
        <v>0</v>
      </c>
      <c r="BF5" s="69">
        <f t="shared" si="12"/>
        <v>0</v>
      </c>
      <c r="BG5" s="69">
        <f t="shared" si="12"/>
        <v>0</v>
      </c>
      <c r="BH5" s="69">
        <f t="shared" si="12"/>
        <v>0</v>
      </c>
      <c r="BI5" s="69">
        <f t="shared" si="12"/>
        <v>0</v>
      </c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</row>
    <row r="6" spans="1:82">
      <c r="A6" s="94" t="s">
        <v>65</v>
      </c>
      <c r="B6" s="69">
        <v>120</v>
      </c>
      <c r="C6" s="69">
        <f t="shared" ref="C6:M6" si="13">B6</f>
        <v>120</v>
      </c>
      <c r="D6" s="69">
        <f t="shared" si="13"/>
        <v>120</v>
      </c>
      <c r="E6" s="69">
        <f t="shared" si="13"/>
        <v>120</v>
      </c>
      <c r="F6" s="69">
        <f t="shared" si="13"/>
        <v>120</v>
      </c>
      <c r="G6" s="69">
        <f t="shared" si="13"/>
        <v>120</v>
      </c>
      <c r="H6" s="69">
        <f t="shared" si="13"/>
        <v>120</v>
      </c>
      <c r="I6" s="69">
        <f t="shared" si="13"/>
        <v>120</v>
      </c>
      <c r="J6" s="69">
        <f t="shared" si="13"/>
        <v>120</v>
      </c>
      <c r="K6" s="69">
        <f t="shared" si="13"/>
        <v>120</v>
      </c>
      <c r="L6" s="69">
        <f t="shared" si="13"/>
        <v>120</v>
      </c>
      <c r="M6" s="69">
        <f t="shared" si="13"/>
        <v>120</v>
      </c>
      <c r="N6" s="69">
        <f>(M6*1.06)</f>
        <v>127.2</v>
      </c>
      <c r="O6" s="69">
        <f t="shared" ref="O6:Y6" si="14">N6</f>
        <v>127.2</v>
      </c>
      <c r="P6" s="69">
        <f t="shared" si="14"/>
        <v>127.2</v>
      </c>
      <c r="Q6" s="69">
        <f t="shared" si="14"/>
        <v>127.2</v>
      </c>
      <c r="R6" s="69">
        <f t="shared" si="14"/>
        <v>127.2</v>
      </c>
      <c r="S6" s="69">
        <f t="shared" si="14"/>
        <v>127.2</v>
      </c>
      <c r="T6" s="69">
        <f t="shared" si="14"/>
        <v>127.2</v>
      </c>
      <c r="U6" s="69">
        <f t="shared" si="14"/>
        <v>127.2</v>
      </c>
      <c r="V6" s="69">
        <f t="shared" si="14"/>
        <v>127.2</v>
      </c>
      <c r="W6" s="69">
        <f t="shared" si="14"/>
        <v>127.2</v>
      </c>
      <c r="X6" s="69">
        <f t="shared" si="14"/>
        <v>127.2</v>
      </c>
      <c r="Y6" s="69">
        <f t="shared" si="14"/>
        <v>127.2</v>
      </c>
      <c r="Z6" s="69">
        <f t="shared" si="3"/>
        <v>134.83200000000002</v>
      </c>
      <c r="AA6" s="69">
        <f t="shared" ref="AA6:AK6" si="15">Z6</f>
        <v>134.83200000000002</v>
      </c>
      <c r="AB6" s="69">
        <f t="shared" si="15"/>
        <v>134.83200000000002</v>
      </c>
      <c r="AC6" s="69">
        <f t="shared" si="15"/>
        <v>134.83200000000002</v>
      </c>
      <c r="AD6" s="69">
        <f t="shared" si="15"/>
        <v>134.83200000000002</v>
      </c>
      <c r="AE6" s="69">
        <f t="shared" si="15"/>
        <v>134.83200000000002</v>
      </c>
      <c r="AF6" s="69">
        <f t="shared" si="15"/>
        <v>134.83200000000002</v>
      </c>
      <c r="AG6" s="69">
        <f t="shared" si="15"/>
        <v>134.83200000000002</v>
      </c>
      <c r="AH6" s="69">
        <f t="shared" si="15"/>
        <v>134.83200000000002</v>
      </c>
      <c r="AI6" s="69">
        <f t="shared" si="15"/>
        <v>134.83200000000002</v>
      </c>
      <c r="AJ6" s="69">
        <f t="shared" si="15"/>
        <v>134.83200000000002</v>
      </c>
      <c r="AK6" s="69">
        <f t="shared" si="15"/>
        <v>134.83200000000002</v>
      </c>
      <c r="AL6" s="69">
        <f>(AK6*1.06)+(120*(Funcionários!E64-Funcionários!D64))</f>
        <v>262.92192</v>
      </c>
      <c r="AM6" s="69">
        <f t="shared" ref="AM6:AW6" si="16">AL6</f>
        <v>262.92192</v>
      </c>
      <c r="AN6" s="69">
        <f t="shared" si="16"/>
        <v>262.92192</v>
      </c>
      <c r="AO6" s="69">
        <f t="shared" si="16"/>
        <v>262.92192</v>
      </c>
      <c r="AP6" s="69">
        <f t="shared" si="16"/>
        <v>262.92192</v>
      </c>
      <c r="AQ6" s="69">
        <f t="shared" si="16"/>
        <v>262.92192</v>
      </c>
      <c r="AR6" s="69">
        <f t="shared" si="16"/>
        <v>262.92192</v>
      </c>
      <c r="AS6" s="69">
        <f t="shared" si="16"/>
        <v>262.92192</v>
      </c>
      <c r="AT6" s="69">
        <f t="shared" si="16"/>
        <v>262.92192</v>
      </c>
      <c r="AU6" s="69">
        <f t="shared" si="16"/>
        <v>262.92192</v>
      </c>
      <c r="AV6" s="69">
        <f t="shared" si="16"/>
        <v>262.92192</v>
      </c>
      <c r="AW6" s="69">
        <f t="shared" si="16"/>
        <v>262.92192</v>
      </c>
      <c r="AX6" s="69">
        <f>(AW6*1.06)+(120*(Funcionários!E64-Funcionários!D64))</f>
        <v>398.69723520000002</v>
      </c>
      <c r="AY6" s="69">
        <f t="shared" ref="AY6:BI6" si="17">AX6</f>
        <v>398.69723520000002</v>
      </c>
      <c r="AZ6" s="69">
        <f t="shared" si="17"/>
        <v>398.69723520000002</v>
      </c>
      <c r="BA6" s="69">
        <f t="shared" si="17"/>
        <v>398.69723520000002</v>
      </c>
      <c r="BB6" s="69">
        <f t="shared" si="17"/>
        <v>398.69723520000002</v>
      </c>
      <c r="BC6" s="69">
        <f t="shared" si="17"/>
        <v>398.69723520000002</v>
      </c>
      <c r="BD6" s="69">
        <f t="shared" si="17"/>
        <v>398.69723520000002</v>
      </c>
      <c r="BE6" s="69">
        <f t="shared" si="17"/>
        <v>398.69723520000002</v>
      </c>
      <c r="BF6" s="69">
        <f t="shared" si="17"/>
        <v>398.69723520000002</v>
      </c>
      <c r="BG6" s="69">
        <f t="shared" si="17"/>
        <v>398.69723520000002</v>
      </c>
      <c r="BH6" s="69">
        <f t="shared" si="17"/>
        <v>398.69723520000002</v>
      </c>
      <c r="BI6" s="69">
        <f t="shared" si="17"/>
        <v>398.69723520000002</v>
      </c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</row>
    <row r="7" spans="1:82">
      <c r="A7" s="94" t="s">
        <v>66</v>
      </c>
      <c r="B7" s="69">
        <f>750*Funcionários!B64</f>
        <v>2250</v>
      </c>
      <c r="C7" s="69">
        <v>0</v>
      </c>
      <c r="D7" s="69">
        <f t="shared" ref="D7:M7" si="18">C7</f>
        <v>0</v>
      </c>
      <c r="E7" s="69">
        <f t="shared" si="18"/>
        <v>0</v>
      </c>
      <c r="F7" s="69">
        <f t="shared" si="18"/>
        <v>0</v>
      </c>
      <c r="G7" s="69">
        <f t="shared" si="18"/>
        <v>0</v>
      </c>
      <c r="H7" s="69">
        <f t="shared" si="18"/>
        <v>0</v>
      </c>
      <c r="I7" s="69">
        <f t="shared" si="18"/>
        <v>0</v>
      </c>
      <c r="J7" s="69">
        <f t="shared" si="18"/>
        <v>0</v>
      </c>
      <c r="K7" s="69">
        <f t="shared" si="18"/>
        <v>0</v>
      </c>
      <c r="L7" s="69">
        <f t="shared" si="18"/>
        <v>0</v>
      </c>
      <c r="M7" s="69">
        <f t="shared" si="18"/>
        <v>0</v>
      </c>
      <c r="N7" s="69">
        <f>750*Funcionários!C64</f>
        <v>2250</v>
      </c>
      <c r="O7" s="69">
        <v>0</v>
      </c>
      <c r="P7" s="69">
        <v>0</v>
      </c>
      <c r="Q7" s="69">
        <v>0</v>
      </c>
      <c r="R7" s="69">
        <v>0</v>
      </c>
      <c r="S7" s="69">
        <v>0</v>
      </c>
      <c r="T7" s="69">
        <v>0</v>
      </c>
      <c r="U7" s="69">
        <v>0</v>
      </c>
      <c r="V7" s="69">
        <v>0</v>
      </c>
      <c r="W7" s="69">
        <v>0</v>
      </c>
      <c r="X7" s="69">
        <v>0</v>
      </c>
      <c r="Y7" s="69">
        <v>0</v>
      </c>
      <c r="Z7" s="69">
        <f>750*Funcionários!D64</f>
        <v>2250</v>
      </c>
      <c r="AA7" s="69">
        <v>0</v>
      </c>
      <c r="AB7" s="69">
        <v>0</v>
      </c>
      <c r="AC7" s="69">
        <v>0</v>
      </c>
      <c r="AD7" s="69">
        <v>0</v>
      </c>
      <c r="AE7" s="69">
        <v>0</v>
      </c>
      <c r="AF7" s="69">
        <v>0</v>
      </c>
      <c r="AG7" s="69">
        <v>0</v>
      </c>
      <c r="AH7" s="69">
        <v>0</v>
      </c>
      <c r="AI7" s="69">
        <v>0</v>
      </c>
      <c r="AJ7" s="69">
        <v>0</v>
      </c>
      <c r="AK7" s="69">
        <v>0</v>
      </c>
      <c r="AL7" s="69">
        <f>750*Funcionários!E64</f>
        <v>3000</v>
      </c>
      <c r="AM7" s="69">
        <v>0</v>
      </c>
      <c r="AN7" s="69">
        <v>0</v>
      </c>
      <c r="AO7" s="69">
        <v>0</v>
      </c>
      <c r="AP7" s="69">
        <v>0</v>
      </c>
      <c r="AQ7" s="69">
        <v>0</v>
      </c>
      <c r="AR7" s="69">
        <v>0</v>
      </c>
      <c r="AS7" s="69">
        <v>0</v>
      </c>
      <c r="AT7" s="69">
        <v>0</v>
      </c>
      <c r="AU7" s="69">
        <v>0</v>
      </c>
      <c r="AV7" s="69">
        <v>0</v>
      </c>
      <c r="AW7" s="69">
        <v>0</v>
      </c>
      <c r="AX7" s="69">
        <f>750*Funcionários!F64</f>
        <v>3750</v>
      </c>
      <c r="AY7" s="69">
        <v>0</v>
      </c>
      <c r="AZ7" s="69">
        <v>0</v>
      </c>
      <c r="BA7" s="69">
        <v>0</v>
      </c>
      <c r="BB7" s="69">
        <v>0</v>
      </c>
      <c r="BC7" s="69">
        <v>0</v>
      </c>
      <c r="BD7" s="69">
        <v>0</v>
      </c>
      <c r="BE7" s="69">
        <v>0</v>
      </c>
      <c r="BF7" s="69">
        <v>0</v>
      </c>
      <c r="BG7" s="69">
        <v>0</v>
      </c>
      <c r="BH7" s="69">
        <v>0</v>
      </c>
      <c r="BI7" s="69">
        <v>0</v>
      </c>
      <c r="BJ7" s="69">
        <v>0</v>
      </c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</row>
    <row r="8" spans="1:82">
      <c r="A8" s="94" t="s">
        <v>67</v>
      </c>
      <c r="B8" s="69">
        <f>100*Funcionários!B64</f>
        <v>300</v>
      </c>
      <c r="C8" s="69">
        <f t="shared" ref="C8:M8" si="19">B8</f>
        <v>300</v>
      </c>
      <c r="D8" s="69">
        <f t="shared" si="19"/>
        <v>300</v>
      </c>
      <c r="E8" s="69">
        <f t="shared" si="19"/>
        <v>300</v>
      </c>
      <c r="F8" s="69">
        <f t="shared" si="19"/>
        <v>300</v>
      </c>
      <c r="G8" s="69">
        <f t="shared" si="19"/>
        <v>300</v>
      </c>
      <c r="H8" s="69">
        <f t="shared" si="19"/>
        <v>300</v>
      </c>
      <c r="I8" s="69">
        <f t="shared" si="19"/>
        <v>300</v>
      </c>
      <c r="J8" s="69">
        <f t="shared" si="19"/>
        <v>300</v>
      </c>
      <c r="K8" s="69">
        <f t="shared" si="19"/>
        <v>300</v>
      </c>
      <c r="L8" s="69">
        <f t="shared" si="19"/>
        <v>300</v>
      </c>
      <c r="M8" s="69">
        <f t="shared" si="19"/>
        <v>300</v>
      </c>
      <c r="N8" s="69">
        <f>100*Funcionários!C64</f>
        <v>300</v>
      </c>
      <c r="O8" s="69">
        <f t="shared" ref="O8:Y8" si="20">N8</f>
        <v>300</v>
      </c>
      <c r="P8" s="69">
        <f t="shared" si="20"/>
        <v>300</v>
      </c>
      <c r="Q8" s="69">
        <f t="shared" si="20"/>
        <v>300</v>
      </c>
      <c r="R8" s="69">
        <f t="shared" si="20"/>
        <v>300</v>
      </c>
      <c r="S8" s="69">
        <f t="shared" si="20"/>
        <v>300</v>
      </c>
      <c r="T8" s="69">
        <f t="shared" si="20"/>
        <v>300</v>
      </c>
      <c r="U8" s="69">
        <f t="shared" si="20"/>
        <v>300</v>
      </c>
      <c r="V8" s="69">
        <f t="shared" si="20"/>
        <v>300</v>
      </c>
      <c r="W8" s="69">
        <f t="shared" si="20"/>
        <v>300</v>
      </c>
      <c r="X8" s="69">
        <f t="shared" si="20"/>
        <v>300</v>
      </c>
      <c r="Y8" s="69">
        <f t="shared" si="20"/>
        <v>300</v>
      </c>
      <c r="Z8" s="69">
        <f>100*Funcionários!D64</f>
        <v>300</v>
      </c>
      <c r="AA8" s="69">
        <f t="shared" ref="AA8:AK8" si="21">Z8</f>
        <v>300</v>
      </c>
      <c r="AB8" s="69">
        <f t="shared" si="21"/>
        <v>300</v>
      </c>
      <c r="AC8" s="69">
        <f t="shared" si="21"/>
        <v>300</v>
      </c>
      <c r="AD8" s="69">
        <f t="shared" si="21"/>
        <v>300</v>
      </c>
      <c r="AE8" s="69">
        <f t="shared" si="21"/>
        <v>300</v>
      </c>
      <c r="AF8" s="69">
        <f t="shared" si="21"/>
        <v>300</v>
      </c>
      <c r="AG8" s="69">
        <f t="shared" si="21"/>
        <v>300</v>
      </c>
      <c r="AH8" s="69">
        <f t="shared" si="21"/>
        <v>300</v>
      </c>
      <c r="AI8" s="69">
        <f t="shared" si="21"/>
        <v>300</v>
      </c>
      <c r="AJ8" s="69">
        <f t="shared" si="21"/>
        <v>300</v>
      </c>
      <c r="AK8" s="69">
        <f t="shared" si="21"/>
        <v>300</v>
      </c>
      <c r="AL8" s="69">
        <f>100*Funcionários!E64</f>
        <v>400</v>
      </c>
      <c r="AM8" s="69">
        <f t="shared" ref="AM8:AW8" si="22">AL8</f>
        <v>400</v>
      </c>
      <c r="AN8" s="69">
        <f t="shared" si="22"/>
        <v>400</v>
      </c>
      <c r="AO8" s="69">
        <f t="shared" si="22"/>
        <v>400</v>
      </c>
      <c r="AP8" s="69">
        <f t="shared" si="22"/>
        <v>400</v>
      </c>
      <c r="AQ8" s="69">
        <f t="shared" si="22"/>
        <v>400</v>
      </c>
      <c r="AR8" s="69">
        <f t="shared" si="22"/>
        <v>400</v>
      </c>
      <c r="AS8" s="69">
        <f t="shared" si="22"/>
        <v>400</v>
      </c>
      <c r="AT8" s="69">
        <f t="shared" si="22"/>
        <v>400</v>
      </c>
      <c r="AU8" s="69">
        <f t="shared" si="22"/>
        <v>400</v>
      </c>
      <c r="AV8" s="69">
        <f t="shared" si="22"/>
        <v>400</v>
      </c>
      <c r="AW8" s="69">
        <f t="shared" si="22"/>
        <v>400</v>
      </c>
      <c r="AX8" s="69">
        <f>100*Funcionários!F64</f>
        <v>500</v>
      </c>
      <c r="AY8" s="69">
        <f t="shared" ref="AY8:BI8" si="23">AX8</f>
        <v>500</v>
      </c>
      <c r="AZ8" s="69">
        <f t="shared" si="23"/>
        <v>500</v>
      </c>
      <c r="BA8" s="69">
        <f t="shared" si="23"/>
        <v>500</v>
      </c>
      <c r="BB8" s="69">
        <f t="shared" si="23"/>
        <v>500</v>
      </c>
      <c r="BC8" s="69">
        <f t="shared" si="23"/>
        <v>500</v>
      </c>
      <c r="BD8" s="69">
        <f t="shared" si="23"/>
        <v>500</v>
      </c>
      <c r="BE8" s="69">
        <f t="shared" si="23"/>
        <v>500</v>
      </c>
      <c r="BF8" s="69">
        <f t="shared" si="23"/>
        <v>500</v>
      </c>
      <c r="BG8" s="69">
        <f t="shared" si="23"/>
        <v>500</v>
      </c>
      <c r="BH8" s="69">
        <f t="shared" si="23"/>
        <v>500</v>
      </c>
      <c r="BI8" s="69">
        <f t="shared" si="23"/>
        <v>500</v>
      </c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</row>
    <row r="9" spans="1:82">
      <c r="A9" s="94" t="s">
        <v>68</v>
      </c>
      <c r="B9" s="69">
        <v>150</v>
      </c>
      <c r="C9" s="69">
        <f t="shared" ref="C9:M9" si="24">B9</f>
        <v>150</v>
      </c>
      <c r="D9" s="69">
        <f t="shared" si="24"/>
        <v>150</v>
      </c>
      <c r="E9" s="69">
        <f t="shared" si="24"/>
        <v>150</v>
      </c>
      <c r="F9" s="69">
        <f t="shared" si="24"/>
        <v>150</v>
      </c>
      <c r="G9" s="69">
        <f t="shared" si="24"/>
        <v>150</v>
      </c>
      <c r="H9" s="69">
        <f t="shared" si="24"/>
        <v>150</v>
      </c>
      <c r="I9" s="69">
        <f t="shared" si="24"/>
        <v>150</v>
      </c>
      <c r="J9" s="69">
        <f t="shared" si="24"/>
        <v>150</v>
      </c>
      <c r="K9" s="69">
        <f t="shared" si="24"/>
        <v>150</v>
      </c>
      <c r="L9" s="69">
        <f t="shared" si="24"/>
        <v>150</v>
      </c>
      <c r="M9" s="69">
        <f t="shared" si="24"/>
        <v>150</v>
      </c>
      <c r="N9" s="69">
        <f>M9*1.06</f>
        <v>159</v>
      </c>
      <c r="O9" s="69">
        <f t="shared" ref="O9:Y9" si="25">N9</f>
        <v>159</v>
      </c>
      <c r="P9" s="69">
        <f t="shared" si="25"/>
        <v>159</v>
      </c>
      <c r="Q9" s="69">
        <f t="shared" si="25"/>
        <v>159</v>
      </c>
      <c r="R9" s="69">
        <f t="shared" si="25"/>
        <v>159</v>
      </c>
      <c r="S9" s="69">
        <f t="shared" si="25"/>
        <v>159</v>
      </c>
      <c r="T9" s="69">
        <f t="shared" si="25"/>
        <v>159</v>
      </c>
      <c r="U9" s="69">
        <f t="shared" si="25"/>
        <v>159</v>
      </c>
      <c r="V9" s="69">
        <f t="shared" si="25"/>
        <v>159</v>
      </c>
      <c r="W9" s="69">
        <f t="shared" si="25"/>
        <v>159</v>
      </c>
      <c r="X9" s="69">
        <f t="shared" si="25"/>
        <v>159</v>
      </c>
      <c r="Y9" s="69">
        <f t="shared" si="25"/>
        <v>159</v>
      </c>
      <c r="Z9" s="69">
        <f>Y9*1.06</f>
        <v>168.54000000000002</v>
      </c>
      <c r="AA9" s="69">
        <f t="shared" ref="AA9:AK9" si="26">Z9</f>
        <v>168.54000000000002</v>
      </c>
      <c r="AB9" s="69">
        <f t="shared" si="26"/>
        <v>168.54000000000002</v>
      </c>
      <c r="AC9" s="69">
        <f t="shared" si="26"/>
        <v>168.54000000000002</v>
      </c>
      <c r="AD9" s="69">
        <f t="shared" si="26"/>
        <v>168.54000000000002</v>
      </c>
      <c r="AE9" s="69">
        <f t="shared" si="26"/>
        <v>168.54000000000002</v>
      </c>
      <c r="AF9" s="69">
        <f t="shared" si="26"/>
        <v>168.54000000000002</v>
      </c>
      <c r="AG9" s="69">
        <f t="shared" si="26"/>
        <v>168.54000000000002</v>
      </c>
      <c r="AH9" s="69">
        <f t="shared" si="26"/>
        <v>168.54000000000002</v>
      </c>
      <c r="AI9" s="69">
        <f t="shared" si="26"/>
        <v>168.54000000000002</v>
      </c>
      <c r="AJ9" s="69">
        <f t="shared" si="26"/>
        <v>168.54000000000002</v>
      </c>
      <c r="AK9" s="69">
        <f t="shared" si="26"/>
        <v>168.54000000000002</v>
      </c>
      <c r="AL9" s="69">
        <f>AK9*1.06</f>
        <v>178.65240000000003</v>
      </c>
      <c r="AM9" s="69">
        <f t="shared" ref="AM9:AW9" si="27">AL9</f>
        <v>178.65240000000003</v>
      </c>
      <c r="AN9" s="69">
        <f t="shared" si="27"/>
        <v>178.65240000000003</v>
      </c>
      <c r="AO9" s="69">
        <f t="shared" si="27"/>
        <v>178.65240000000003</v>
      </c>
      <c r="AP9" s="69">
        <f t="shared" si="27"/>
        <v>178.65240000000003</v>
      </c>
      <c r="AQ9" s="69">
        <f t="shared" si="27"/>
        <v>178.65240000000003</v>
      </c>
      <c r="AR9" s="69">
        <f t="shared" si="27"/>
        <v>178.65240000000003</v>
      </c>
      <c r="AS9" s="69">
        <f t="shared" si="27"/>
        <v>178.65240000000003</v>
      </c>
      <c r="AT9" s="69">
        <f t="shared" si="27"/>
        <v>178.65240000000003</v>
      </c>
      <c r="AU9" s="69">
        <f t="shared" si="27"/>
        <v>178.65240000000003</v>
      </c>
      <c r="AV9" s="69">
        <f t="shared" si="27"/>
        <v>178.65240000000003</v>
      </c>
      <c r="AW9" s="69">
        <f t="shared" si="27"/>
        <v>178.65240000000003</v>
      </c>
      <c r="AX9" s="69">
        <f>AW9*1.06</f>
        <v>189.37154400000003</v>
      </c>
      <c r="AY9" s="69">
        <f t="shared" ref="AY9:BI9" si="28">AX9</f>
        <v>189.37154400000003</v>
      </c>
      <c r="AZ9" s="69">
        <f t="shared" si="28"/>
        <v>189.37154400000003</v>
      </c>
      <c r="BA9" s="69">
        <f t="shared" si="28"/>
        <v>189.37154400000003</v>
      </c>
      <c r="BB9" s="69">
        <f t="shared" si="28"/>
        <v>189.37154400000003</v>
      </c>
      <c r="BC9" s="69">
        <f t="shared" si="28"/>
        <v>189.37154400000003</v>
      </c>
      <c r="BD9" s="69">
        <f t="shared" si="28"/>
        <v>189.37154400000003</v>
      </c>
      <c r="BE9" s="69">
        <f t="shared" si="28"/>
        <v>189.37154400000003</v>
      </c>
      <c r="BF9" s="69">
        <f t="shared" si="28"/>
        <v>189.37154400000003</v>
      </c>
      <c r="BG9" s="69">
        <f t="shared" si="28"/>
        <v>189.37154400000003</v>
      </c>
      <c r="BH9" s="69">
        <f t="shared" si="28"/>
        <v>189.37154400000003</v>
      </c>
      <c r="BI9" s="69">
        <f t="shared" si="28"/>
        <v>189.37154400000003</v>
      </c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</row>
    <row r="10" spans="1:82">
      <c r="A10" s="95" t="s">
        <v>40</v>
      </c>
      <c r="B10" s="61">
        <f t="shared" ref="B10:BI10" si="29">SUM(B4:B9)</f>
        <v>3605</v>
      </c>
      <c r="C10" s="61">
        <f t="shared" si="29"/>
        <v>700</v>
      </c>
      <c r="D10" s="61">
        <f t="shared" si="29"/>
        <v>700</v>
      </c>
      <c r="E10" s="61">
        <f t="shared" si="29"/>
        <v>700</v>
      </c>
      <c r="F10" s="61">
        <f t="shared" si="29"/>
        <v>700</v>
      </c>
      <c r="G10" s="61">
        <f t="shared" si="29"/>
        <v>700</v>
      </c>
      <c r="H10" s="61">
        <f t="shared" si="29"/>
        <v>700</v>
      </c>
      <c r="I10" s="61">
        <f t="shared" si="29"/>
        <v>700</v>
      </c>
      <c r="J10" s="61">
        <f t="shared" si="29"/>
        <v>700</v>
      </c>
      <c r="K10" s="61">
        <f t="shared" si="29"/>
        <v>700</v>
      </c>
      <c r="L10" s="61">
        <f t="shared" si="29"/>
        <v>700</v>
      </c>
      <c r="M10" s="61">
        <f t="shared" si="29"/>
        <v>700</v>
      </c>
      <c r="N10" s="61">
        <f t="shared" si="29"/>
        <v>2974</v>
      </c>
      <c r="O10" s="61">
        <f t="shared" si="29"/>
        <v>724</v>
      </c>
      <c r="P10" s="61">
        <f t="shared" si="29"/>
        <v>724</v>
      </c>
      <c r="Q10" s="61">
        <f t="shared" si="29"/>
        <v>724</v>
      </c>
      <c r="R10" s="61">
        <f t="shared" si="29"/>
        <v>724</v>
      </c>
      <c r="S10" s="61">
        <f t="shared" si="29"/>
        <v>724</v>
      </c>
      <c r="T10" s="61">
        <f t="shared" si="29"/>
        <v>724</v>
      </c>
      <c r="U10" s="61">
        <f t="shared" si="29"/>
        <v>724</v>
      </c>
      <c r="V10" s="61">
        <f t="shared" si="29"/>
        <v>724</v>
      </c>
      <c r="W10" s="61">
        <f t="shared" si="29"/>
        <v>724</v>
      </c>
      <c r="X10" s="61">
        <f t="shared" si="29"/>
        <v>724</v>
      </c>
      <c r="Y10" s="61">
        <f t="shared" si="29"/>
        <v>724</v>
      </c>
      <c r="Z10" s="61">
        <f t="shared" si="29"/>
        <v>2999.44</v>
      </c>
      <c r="AA10" s="61">
        <f t="shared" si="29"/>
        <v>749.44</v>
      </c>
      <c r="AB10" s="61">
        <f t="shared" si="29"/>
        <v>749.44</v>
      </c>
      <c r="AC10" s="61">
        <f t="shared" si="29"/>
        <v>749.44</v>
      </c>
      <c r="AD10" s="61">
        <f t="shared" si="29"/>
        <v>749.44</v>
      </c>
      <c r="AE10" s="61">
        <f t="shared" si="29"/>
        <v>749.44</v>
      </c>
      <c r="AF10" s="61">
        <f t="shared" si="29"/>
        <v>749.44</v>
      </c>
      <c r="AG10" s="61">
        <f t="shared" si="29"/>
        <v>749.44</v>
      </c>
      <c r="AH10" s="61">
        <f t="shared" si="29"/>
        <v>749.44</v>
      </c>
      <c r="AI10" s="61">
        <f t="shared" si="29"/>
        <v>749.44</v>
      </c>
      <c r="AJ10" s="61">
        <f t="shared" si="29"/>
        <v>749.44</v>
      </c>
      <c r="AK10" s="61">
        <f t="shared" si="29"/>
        <v>749.44</v>
      </c>
      <c r="AL10" s="61">
        <f t="shared" si="29"/>
        <v>3996.4063999999998</v>
      </c>
      <c r="AM10" s="61">
        <f t="shared" si="29"/>
        <v>996.40640000000008</v>
      </c>
      <c r="AN10" s="61">
        <f t="shared" si="29"/>
        <v>996.40640000000008</v>
      </c>
      <c r="AO10" s="61">
        <f t="shared" si="29"/>
        <v>996.40640000000008</v>
      </c>
      <c r="AP10" s="61">
        <f t="shared" si="29"/>
        <v>996.40640000000008</v>
      </c>
      <c r="AQ10" s="61">
        <f t="shared" si="29"/>
        <v>996.40640000000008</v>
      </c>
      <c r="AR10" s="61">
        <f t="shared" si="29"/>
        <v>996.40640000000008</v>
      </c>
      <c r="AS10" s="61">
        <f t="shared" si="29"/>
        <v>996.40640000000008</v>
      </c>
      <c r="AT10" s="61">
        <f t="shared" si="29"/>
        <v>996.40640000000008</v>
      </c>
      <c r="AU10" s="61">
        <f t="shared" si="29"/>
        <v>996.40640000000008</v>
      </c>
      <c r="AV10" s="61">
        <f t="shared" si="29"/>
        <v>996.40640000000008</v>
      </c>
      <c r="AW10" s="61">
        <f t="shared" si="29"/>
        <v>996.40640000000008</v>
      </c>
      <c r="AX10" s="61">
        <f t="shared" si="29"/>
        <v>5002.1907839999994</v>
      </c>
      <c r="AY10" s="61">
        <f t="shared" si="29"/>
        <v>1252.1907840000001</v>
      </c>
      <c r="AZ10" s="61">
        <f t="shared" si="29"/>
        <v>1252.1907840000001</v>
      </c>
      <c r="BA10" s="61">
        <f t="shared" si="29"/>
        <v>1252.1907840000001</v>
      </c>
      <c r="BB10" s="61">
        <f t="shared" si="29"/>
        <v>1252.1907840000001</v>
      </c>
      <c r="BC10" s="61">
        <f t="shared" si="29"/>
        <v>1252.1907840000001</v>
      </c>
      <c r="BD10" s="61">
        <f t="shared" si="29"/>
        <v>1252.1907840000001</v>
      </c>
      <c r="BE10" s="61">
        <f t="shared" si="29"/>
        <v>1252.1907840000001</v>
      </c>
      <c r="BF10" s="61">
        <f t="shared" si="29"/>
        <v>1252.1907840000001</v>
      </c>
      <c r="BG10" s="61">
        <f t="shared" si="29"/>
        <v>1252.1907840000001</v>
      </c>
      <c r="BH10" s="61">
        <f t="shared" si="29"/>
        <v>1252.1907840000001</v>
      </c>
      <c r="BI10" s="61">
        <f t="shared" si="29"/>
        <v>1252.1907840000001</v>
      </c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</row>
    <row r="11" spans="1:82"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</row>
    <row r="12" spans="1:82"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</row>
    <row r="13" spans="1:82"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</row>
    <row r="14" spans="1:82"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</row>
    <row r="15" spans="1:82"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</row>
    <row r="16" spans="1:82"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</row>
    <row r="17" spans="1:82"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</row>
    <row r="20" spans="1:82" ht="15.75">
      <c r="A20" s="96" t="s">
        <v>62</v>
      </c>
      <c r="B20" s="97" t="s">
        <v>22</v>
      </c>
      <c r="C20" s="98" t="s">
        <v>23</v>
      </c>
      <c r="D20" s="97" t="s">
        <v>24</v>
      </c>
      <c r="E20" s="97" t="s">
        <v>25</v>
      </c>
      <c r="F20" s="99" t="s">
        <v>26</v>
      </c>
    </row>
    <row r="21" spans="1:82" ht="15.75" customHeight="1">
      <c r="A21" s="91" t="s">
        <v>63</v>
      </c>
      <c r="B21" s="69">
        <f>SUM(B4:M4)</f>
        <v>1560</v>
      </c>
      <c r="C21" s="100">
        <f>SUM(N4:Y4)</f>
        <v>1653.5999999999997</v>
      </c>
      <c r="D21" s="69">
        <f>SUM(Z4:AK4)</f>
        <v>1752.816</v>
      </c>
      <c r="E21" s="69">
        <f>SUM(AL4:AW4)</f>
        <v>1857.9849600000007</v>
      </c>
      <c r="F21" s="69">
        <f>SUM(AX4:BI4)</f>
        <v>1969.4640576000004</v>
      </c>
    </row>
    <row r="22" spans="1:82" ht="15.75" customHeight="1">
      <c r="A22" s="94" t="s">
        <v>65</v>
      </c>
      <c r="B22" s="101">
        <f t="shared" ref="B22:B25" si="30">SUM(B6:M6)</f>
        <v>1440</v>
      </c>
      <c r="C22" s="102">
        <f t="shared" ref="C22:C25" si="31">SUM(N6:Y6)</f>
        <v>1526.4000000000003</v>
      </c>
      <c r="D22" s="101">
        <f t="shared" ref="D22:D25" si="32">SUM(Z6:AK6)</f>
        <v>1617.9840000000006</v>
      </c>
      <c r="E22" s="101">
        <f t="shared" ref="E22:E25" si="33">SUM(AL6:AW6)</f>
        <v>3155.0630399999991</v>
      </c>
      <c r="F22" s="101">
        <f t="shared" ref="F22:F25" si="34">SUM(AX6:BI6)</f>
        <v>4784.3668224000012</v>
      </c>
    </row>
    <row r="23" spans="1:82" ht="15.75" customHeight="1">
      <c r="A23" s="94" t="s">
        <v>66</v>
      </c>
      <c r="B23" s="101">
        <f t="shared" si="30"/>
        <v>2250</v>
      </c>
      <c r="C23" s="102">
        <f t="shared" si="31"/>
        <v>2250</v>
      </c>
      <c r="D23" s="101">
        <f t="shared" si="32"/>
        <v>2250</v>
      </c>
      <c r="E23" s="101">
        <f t="shared" si="33"/>
        <v>3000</v>
      </c>
      <c r="F23" s="101">
        <f t="shared" si="34"/>
        <v>3750</v>
      </c>
    </row>
    <row r="24" spans="1:82" ht="15.75" customHeight="1">
      <c r="A24" s="94" t="s">
        <v>67</v>
      </c>
      <c r="B24" s="101">
        <f t="shared" si="30"/>
        <v>3600</v>
      </c>
      <c r="C24" s="102">
        <f t="shared" si="31"/>
        <v>3600</v>
      </c>
      <c r="D24" s="101">
        <f t="shared" si="32"/>
        <v>3600</v>
      </c>
      <c r="E24" s="101">
        <f t="shared" si="33"/>
        <v>4800</v>
      </c>
      <c r="F24" s="101">
        <f t="shared" si="34"/>
        <v>6000</v>
      </c>
    </row>
    <row r="25" spans="1:82" ht="15.75" customHeight="1">
      <c r="A25" s="94" t="s">
        <v>68</v>
      </c>
      <c r="B25" s="101">
        <f t="shared" si="30"/>
        <v>1800</v>
      </c>
      <c r="C25" s="102">
        <f t="shared" si="31"/>
        <v>1908</v>
      </c>
      <c r="D25" s="101">
        <f t="shared" si="32"/>
        <v>2022.4799999999998</v>
      </c>
      <c r="E25" s="101">
        <f t="shared" si="33"/>
        <v>2143.8287999999998</v>
      </c>
      <c r="F25" s="101">
        <f t="shared" si="34"/>
        <v>2272.4585280000006</v>
      </c>
    </row>
    <row r="26" spans="1:82" ht="15.75" customHeight="1">
      <c r="A26" s="95" t="s">
        <v>40</v>
      </c>
      <c r="B26" s="61">
        <f t="shared" ref="B26:F26" si="35">SUM(B21:B25)</f>
        <v>10650</v>
      </c>
      <c r="C26" s="61">
        <f t="shared" si="35"/>
        <v>10938</v>
      </c>
      <c r="D26" s="61">
        <f t="shared" si="35"/>
        <v>11243.28</v>
      </c>
      <c r="E26" s="61">
        <f t="shared" si="35"/>
        <v>14956.876799999998</v>
      </c>
      <c r="F26" s="61">
        <f t="shared" si="35"/>
        <v>18776.289408000001</v>
      </c>
    </row>
    <row r="27" spans="1:82" ht="15.75" customHeight="1"/>
    <row r="28" spans="1:82" ht="15.75" customHeight="1"/>
    <row r="29" spans="1:82" ht="15.75" customHeight="1"/>
    <row r="30" spans="1:82" ht="15.75" customHeight="1"/>
    <row r="31" spans="1:82" ht="15.75" customHeight="1"/>
    <row r="32" spans="1:8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866141732283472" right="0.70866141732283472" top="0.74803149606299213" bottom="0.74803149606299213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1000"/>
  <sheetViews>
    <sheetView workbookViewId="0"/>
  </sheetViews>
  <sheetFormatPr defaultColWidth="14.42578125" defaultRowHeight="15" customHeight="1"/>
  <cols>
    <col min="1" max="1" width="53.7109375" customWidth="1"/>
    <col min="2" max="2" width="15.5703125" customWidth="1"/>
    <col min="3" max="6" width="13.85546875" customWidth="1"/>
    <col min="7" max="13" width="13.7109375" customWidth="1"/>
    <col min="14" max="61" width="12.28515625" customWidth="1"/>
    <col min="62" max="62" width="12.7109375" customWidth="1"/>
    <col min="63" max="67" width="8.85546875" customWidth="1"/>
    <col min="68" max="68" width="12.7109375" customWidth="1"/>
    <col min="69" max="73" width="8.85546875" customWidth="1"/>
    <col min="74" max="74" width="12.7109375" customWidth="1"/>
    <col min="75" max="81" width="8.85546875" customWidth="1"/>
  </cols>
  <sheetData>
    <row r="1" spans="1:81" ht="18">
      <c r="A1" s="1" t="s">
        <v>69</v>
      </c>
    </row>
    <row r="2" spans="1:81">
      <c r="A2" s="6" t="str">
        <f>CONCATENATE(Company, ": ",start, " -  ",end)</f>
        <v>Histyle: Mês 1 -  Mês 60</v>
      </c>
    </row>
    <row r="4" spans="1:81" ht="15.75">
      <c r="A4" s="63" t="s">
        <v>69</v>
      </c>
      <c r="B4" s="64">
        <v>1</v>
      </c>
      <c r="C4" s="65">
        <v>2</v>
      </c>
      <c r="D4" s="64">
        <v>3</v>
      </c>
      <c r="E4" s="64">
        <v>4</v>
      </c>
      <c r="F4" s="65">
        <v>5</v>
      </c>
      <c r="G4" s="64">
        <v>6</v>
      </c>
      <c r="H4" s="64">
        <v>7</v>
      </c>
      <c r="I4" s="65">
        <v>8</v>
      </c>
      <c r="J4" s="64">
        <v>9</v>
      </c>
      <c r="K4" s="64">
        <v>10</v>
      </c>
      <c r="L4" s="65">
        <v>11</v>
      </c>
      <c r="M4" s="64">
        <v>12</v>
      </c>
      <c r="N4" s="64">
        <v>13</v>
      </c>
      <c r="O4" s="65">
        <v>14</v>
      </c>
      <c r="P4" s="64">
        <v>15</v>
      </c>
      <c r="Q4" s="64">
        <v>16</v>
      </c>
      <c r="R4" s="65">
        <v>17</v>
      </c>
      <c r="S4" s="64">
        <v>18</v>
      </c>
      <c r="T4" s="64">
        <v>19</v>
      </c>
      <c r="U4" s="65">
        <v>20</v>
      </c>
      <c r="V4" s="64">
        <v>21</v>
      </c>
      <c r="W4" s="64">
        <v>22</v>
      </c>
      <c r="X4" s="65">
        <v>23</v>
      </c>
      <c r="Y4" s="64">
        <v>24</v>
      </c>
      <c r="Z4" s="64">
        <v>25</v>
      </c>
      <c r="AA4" s="65">
        <v>26</v>
      </c>
      <c r="AB4" s="64">
        <v>27</v>
      </c>
      <c r="AC4" s="64">
        <v>28</v>
      </c>
      <c r="AD4" s="65">
        <v>29</v>
      </c>
      <c r="AE4" s="64">
        <v>30</v>
      </c>
      <c r="AF4" s="64">
        <v>31</v>
      </c>
      <c r="AG4" s="65">
        <v>32</v>
      </c>
      <c r="AH4" s="64">
        <v>33</v>
      </c>
      <c r="AI4" s="64">
        <v>34</v>
      </c>
      <c r="AJ4" s="65">
        <v>35</v>
      </c>
      <c r="AK4" s="64">
        <v>36</v>
      </c>
      <c r="AL4" s="64">
        <v>37</v>
      </c>
      <c r="AM4" s="65">
        <v>38</v>
      </c>
      <c r="AN4" s="64">
        <v>39</v>
      </c>
      <c r="AO4" s="64">
        <v>40</v>
      </c>
      <c r="AP4" s="65">
        <v>41</v>
      </c>
      <c r="AQ4" s="64">
        <v>42</v>
      </c>
      <c r="AR4" s="64">
        <v>43</v>
      </c>
      <c r="AS4" s="65">
        <v>44</v>
      </c>
      <c r="AT4" s="64">
        <v>45</v>
      </c>
      <c r="AU4" s="64">
        <v>46</v>
      </c>
      <c r="AV4" s="65">
        <v>47</v>
      </c>
      <c r="AW4" s="64">
        <v>48</v>
      </c>
      <c r="AX4" s="64">
        <v>49</v>
      </c>
      <c r="AY4" s="65">
        <v>50</v>
      </c>
      <c r="AZ4" s="64">
        <v>51</v>
      </c>
      <c r="BA4" s="64">
        <v>52</v>
      </c>
      <c r="BB4" s="65">
        <v>53</v>
      </c>
      <c r="BC4" s="64">
        <v>54</v>
      </c>
      <c r="BD4" s="64">
        <v>55</v>
      </c>
      <c r="BE4" s="65">
        <v>56</v>
      </c>
      <c r="BF4" s="64">
        <v>57</v>
      </c>
      <c r="BG4" s="64">
        <v>58</v>
      </c>
      <c r="BH4" s="65">
        <v>59</v>
      </c>
      <c r="BI4" s="66">
        <v>60</v>
      </c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</row>
    <row r="5" spans="1:81" ht="15.75">
      <c r="A5" s="68" t="s">
        <v>70</v>
      </c>
      <c r="B5" s="69">
        <v>20</v>
      </c>
      <c r="C5" s="69">
        <f t="shared" ref="C5:M5" si="0">B5</f>
        <v>20</v>
      </c>
      <c r="D5" s="69">
        <f t="shared" si="0"/>
        <v>20</v>
      </c>
      <c r="E5" s="69">
        <f t="shared" si="0"/>
        <v>20</v>
      </c>
      <c r="F5" s="69">
        <f t="shared" si="0"/>
        <v>20</v>
      </c>
      <c r="G5" s="69">
        <f t="shared" si="0"/>
        <v>20</v>
      </c>
      <c r="H5" s="69">
        <f t="shared" si="0"/>
        <v>20</v>
      </c>
      <c r="I5" s="69">
        <f t="shared" si="0"/>
        <v>20</v>
      </c>
      <c r="J5" s="69">
        <f t="shared" si="0"/>
        <v>20</v>
      </c>
      <c r="K5" s="69">
        <f t="shared" si="0"/>
        <v>20</v>
      </c>
      <c r="L5" s="69">
        <f t="shared" si="0"/>
        <v>20</v>
      </c>
      <c r="M5" s="69">
        <f t="shared" si="0"/>
        <v>20</v>
      </c>
      <c r="N5" s="69">
        <f t="shared" ref="N5:N6" si="1">M5*1.06</f>
        <v>21.200000000000003</v>
      </c>
      <c r="O5" s="69">
        <f t="shared" ref="O5:Y5" si="2">N5</f>
        <v>21.200000000000003</v>
      </c>
      <c r="P5" s="69">
        <f t="shared" si="2"/>
        <v>21.200000000000003</v>
      </c>
      <c r="Q5" s="69">
        <f t="shared" si="2"/>
        <v>21.200000000000003</v>
      </c>
      <c r="R5" s="69">
        <f t="shared" si="2"/>
        <v>21.200000000000003</v>
      </c>
      <c r="S5" s="69">
        <f t="shared" si="2"/>
        <v>21.200000000000003</v>
      </c>
      <c r="T5" s="69">
        <f t="shared" si="2"/>
        <v>21.200000000000003</v>
      </c>
      <c r="U5" s="69">
        <f t="shared" si="2"/>
        <v>21.200000000000003</v>
      </c>
      <c r="V5" s="69">
        <f t="shared" si="2"/>
        <v>21.200000000000003</v>
      </c>
      <c r="W5" s="69">
        <f t="shared" si="2"/>
        <v>21.200000000000003</v>
      </c>
      <c r="X5" s="69">
        <f t="shared" si="2"/>
        <v>21.200000000000003</v>
      </c>
      <c r="Y5" s="69">
        <f t="shared" si="2"/>
        <v>21.200000000000003</v>
      </c>
      <c r="Z5" s="69">
        <f t="shared" ref="Z5:Z6" si="3">Y5*1.06</f>
        <v>22.472000000000005</v>
      </c>
      <c r="AA5" s="69">
        <f t="shared" ref="AA5:AK5" si="4">Z5</f>
        <v>22.472000000000005</v>
      </c>
      <c r="AB5" s="69">
        <f t="shared" si="4"/>
        <v>22.472000000000005</v>
      </c>
      <c r="AC5" s="69">
        <f t="shared" si="4"/>
        <v>22.472000000000005</v>
      </c>
      <c r="AD5" s="69">
        <f t="shared" si="4"/>
        <v>22.472000000000005</v>
      </c>
      <c r="AE5" s="69">
        <f t="shared" si="4"/>
        <v>22.472000000000005</v>
      </c>
      <c r="AF5" s="69">
        <f t="shared" si="4"/>
        <v>22.472000000000005</v>
      </c>
      <c r="AG5" s="69">
        <f t="shared" si="4"/>
        <v>22.472000000000005</v>
      </c>
      <c r="AH5" s="69">
        <f t="shared" si="4"/>
        <v>22.472000000000005</v>
      </c>
      <c r="AI5" s="69">
        <f t="shared" si="4"/>
        <v>22.472000000000005</v>
      </c>
      <c r="AJ5" s="69">
        <f t="shared" si="4"/>
        <v>22.472000000000005</v>
      </c>
      <c r="AK5" s="69">
        <f t="shared" si="4"/>
        <v>22.472000000000005</v>
      </c>
      <c r="AL5" s="69">
        <f t="shared" ref="AL5:AL6" si="5">AK5*1.06</f>
        <v>23.820320000000006</v>
      </c>
      <c r="AM5" s="69">
        <f t="shared" ref="AM5:AW5" si="6">AL5</f>
        <v>23.820320000000006</v>
      </c>
      <c r="AN5" s="69">
        <f t="shared" si="6"/>
        <v>23.820320000000006</v>
      </c>
      <c r="AO5" s="69">
        <f t="shared" si="6"/>
        <v>23.820320000000006</v>
      </c>
      <c r="AP5" s="69">
        <f t="shared" si="6"/>
        <v>23.820320000000006</v>
      </c>
      <c r="AQ5" s="69">
        <f t="shared" si="6"/>
        <v>23.820320000000006</v>
      </c>
      <c r="AR5" s="69">
        <f t="shared" si="6"/>
        <v>23.820320000000006</v>
      </c>
      <c r="AS5" s="69">
        <f t="shared" si="6"/>
        <v>23.820320000000006</v>
      </c>
      <c r="AT5" s="69">
        <f t="shared" si="6"/>
        <v>23.820320000000006</v>
      </c>
      <c r="AU5" s="69">
        <f t="shared" si="6"/>
        <v>23.820320000000006</v>
      </c>
      <c r="AV5" s="69">
        <f t="shared" si="6"/>
        <v>23.820320000000006</v>
      </c>
      <c r="AW5" s="69">
        <f t="shared" si="6"/>
        <v>23.820320000000006</v>
      </c>
      <c r="AX5" s="69">
        <f>AW5*1.06</f>
        <v>25.249539200000008</v>
      </c>
      <c r="AY5" s="69">
        <f t="shared" ref="AY5:BI5" si="7">AX5</f>
        <v>25.249539200000008</v>
      </c>
      <c r="AZ5" s="69">
        <f t="shared" si="7"/>
        <v>25.249539200000008</v>
      </c>
      <c r="BA5" s="69">
        <f t="shared" si="7"/>
        <v>25.249539200000008</v>
      </c>
      <c r="BB5" s="69">
        <f t="shared" si="7"/>
        <v>25.249539200000008</v>
      </c>
      <c r="BC5" s="69">
        <f t="shared" si="7"/>
        <v>25.249539200000008</v>
      </c>
      <c r="BD5" s="69">
        <f t="shared" si="7"/>
        <v>25.249539200000008</v>
      </c>
      <c r="BE5" s="69">
        <f t="shared" si="7"/>
        <v>25.249539200000008</v>
      </c>
      <c r="BF5" s="69">
        <f t="shared" si="7"/>
        <v>25.249539200000008</v>
      </c>
      <c r="BG5" s="69">
        <f t="shared" si="7"/>
        <v>25.249539200000008</v>
      </c>
      <c r="BH5" s="69">
        <f t="shared" si="7"/>
        <v>25.249539200000008</v>
      </c>
      <c r="BI5" s="69">
        <f t="shared" si="7"/>
        <v>25.249539200000008</v>
      </c>
      <c r="BJ5" s="67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</row>
    <row r="6" spans="1:81" ht="15.75">
      <c r="A6" s="92" t="s">
        <v>71</v>
      </c>
      <c r="B6" s="101">
        <v>655</v>
      </c>
      <c r="C6" s="69">
        <v>0</v>
      </c>
      <c r="D6" s="69">
        <f t="shared" ref="D6:M6" si="8">C6</f>
        <v>0</v>
      </c>
      <c r="E6" s="69">
        <f t="shared" si="8"/>
        <v>0</v>
      </c>
      <c r="F6" s="69">
        <f t="shared" si="8"/>
        <v>0</v>
      </c>
      <c r="G6" s="69">
        <f t="shared" si="8"/>
        <v>0</v>
      </c>
      <c r="H6" s="69">
        <f t="shared" si="8"/>
        <v>0</v>
      </c>
      <c r="I6" s="69">
        <f t="shared" si="8"/>
        <v>0</v>
      </c>
      <c r="J6" s="69">
        <f t="shared" si="8"/>
        <v>0</v>
      </c>
      <c r="K6" s="69">
        <f t="shared" si="8"/>
        <v>0</v>
      </c>
      <c r="L6" s="69">
        <f t="shared" si="8"/>
        <v>0</v>
      </c>
      <c r="M6" s="69">
        <f t="shared" si="8"/>
        <v>0</v>
      </c>
      <c r="N6" s="69">
        <f t="shared" si="1"/>
        <v>0</v>
      </c>
      <c r="O6" s="69">
        <f t="shared" ref="O6:Y6" si="9">N6</f>
        <v>0</v>
      </c>
      <c r="P6" s="69">
        <f t="shared" si="9"/>
        <v>0</v>
      </c>
      <c r="Q6" s="69">
        <f t="shared" si="9"/>
        <v>0</v>
      </c>
      <c r="R6" s="69">
        <f t="shared" si="9"/>
        <v>0</v>
      </c>
      <c r="S6" s="69">
        <f t="shared" si="9"/>
        <v>0</v>
      </c>
      <c r="T6" s="69">
        <f t="shared" si="9"/>
        <v>0</v>
      </c>
      <c r="U6" s="69">
        <f t="shared" si="9"/>
        <v>0</v>
      </c>
      <c r="V6" s="69">
        <f t="shared" si="9"/>
        <v>0</v>
      </c>
      <c r="W6" s="69">
        <f t="shared" si="9"/>
        <v>0</v>
      </c>
      <c r="X6" s="69">
        <f t="shared" si="9"/>
        <v>0</v>
      </c>
      <c r="Y6" s="69">
        <f t="shared" si="9"/>
        <v>0</v>
      </c>
      <c r="Z6" s="69">
        <f t="shared" si="3"/>
        <v>0</v>
      </c>
      <c r="AA6" s="69">
        <f t="shared" ref="AA6:AK6" si="10">Z6</f>
        <v>0</v>
      </c>
      <c r="AB6" s="69">
        <f t="shared" si="10"/>
        <v>0</v>
      </c>
      <c r="AC6" s="69">
        <f t="shared" si="10"/>
        <v>0</v>
      </c>
      <c r="AD6" s="69">
        <f t="shared" si="10"/>
        <v>0</v>
      </c>
      <c r="AE6" s="69">
        <f t="shared" si="10"/>
        <v>0</v>
      </c>
      <c r="AF6" s="69">
        <f t="shared" si="10"/>
        <v>0</v>
      </c>
      <c r="AG6" s="69">
        <f t="shared" si="10"/>
        <v>0</v>
      </c>
      <c r="AH6" s="69">
        <f t="shared" si="10"/>
        <v>0</v>
      </c>
      <c r="AI6" s="69">
        <f t="shared" si="10"/>
        <v>0</v>
      </c>
      <c r="AJ6" s="69">
        <f t="shared" si="10"/>
        <v>0</v>
      </c>
      <c r="AK6" s="69">
        <f t="shared" si="10"/>
        <v>0</v>
      </c>
      <c r="AL6" s="69">
        <f t="shared" si="5"/>
        <v>0</v>
      </c>
      <c r="AM6" s="69">
        <f t="shared" ref="AM6:AV6" si="11">AL6</f>
        <v>0</v>
      </c>
      <c r="AN6" s="69">
        <f t="shared" si="11"/>
        <v>0</v>
      </c>
      <c r="AO6" s="69">
        <f t="shared" si="11"/>
        <v>0</v>
      </c>
      <c r="AP6" s="69">
        <f t="shared" si="11"/>
        <v>0</v>
      </c>
      <c r="AQ6" s="69">
        <f t="shared" si="11"/>
        <v>0</v>
      </c>
      <c r="AR6" s="69">
        <f t="shared" si="11"/>
        <v>0</v>
      </c>
      <c r="AS6" s="69">
        <f t="shared" si="11"/>
        <v>0</v>
      </c>
      <c r="AT6" s="69">
        <f t="shared" si="11"/>
        <v>0</v>
      </c>
      <c r="AU6" s="69">
        <f t="shared" si="11"/>
        <v>0</v>
      </c>
      <c r="AV6" s="69">
        <f t="shared" si="11"/>
        <v>0</v>
      </c>
      <c r="AW6" s="69">
        <f>655*(1.06^4)</f>
        <v>826.9224088000002</v>
      </c>
      <c r="AX6" s="69">
        <v>0</v>
      </c>
      <c r="AY6" s="69">
        <f t="shared" ref="AY6:BI6" si="12">AX6</f>
        <v>0</v>
      </c>
      <c r="AZ6" s="69">
        <f t="shared" si="12"/>
        <v>0</v>
      </c>
      <c r="BA6" s="69">
        <f t="shared" si="12"/>
        <v>0</v>
      </c>
      <c r="BB6" s="69">
        <f t="shared" si="12"/>
        <v>0</v>
      </c>
      <c r="BC6" s="69">
        <f t="shared" si="12"/>
        <v>0</v>
      </c>
      <c r="BD6" s="69">
        <f t="shared" si="12"/>
        <v>0</v>
      </c>
      <c r="BE6" s="69">
        <f t="shared" si="12"/>
        <v>0</v>
      </c>
      <c r="BF6" s="69">
        <f t="shared" si="12"/>
        <v>0</v>
      </c>
      <c r="BG6" s="69">
        <f t="shared" si="12"/>
        <v>0</v>
      </c>
      <c r="BH6" s="69">
        <f t="shared" si="12"/>
        <v>0</v>
      </c>
      <c r="BI6" s="69">
        <f t="shared" si="12"/>
        <v>0</v>
      </c>
      <c r="BJ6" s="67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</row>
    <row r="7" spans="1:81">
      <c r="A7" s="94" t="s">
        <v>72</v>
      </c>
      <c r="B7" s="69">
        <f>90*Funcionários!B64</f>
        <v>270</v>
      </c>
      <c r="C7" s="69">
        <f t="shared" ref="C7:M7" si="13">B7</f>
        <v>270</v>
      </c>
      <c r="D7" s="69">
        <f t="shared" si="13"/>
        <v>270</v>
      </c>
      <c r="E7" s="69">
        <f t="shared" si="13"/>
        <v>270</v>
      </c>
      <c r="F7" s="69">
        <f t="shared" si="13"/>
        <v>270</v>
      </c>
      <c r="G7" s="69">
        <f t="shared" si="13"/>
        <v>270</v>
      </c>
      <c r="H7" s="69">
        <f t="shared" si="13"/>
        <v>270</v>
      </c>
      <c r="I7" s="69">
        <f t="shared" si="13"/>
        <v>270</v>
      </c>
      <c r="J7" s="69">
        <f t="shared" si="13"/>
        <v>270</v>
      </c>
      <c r="K7" s="69">
        <f t="shared" si="13"/>
        <v>270</v>
      </c>
      <c r="L7" s="69">
        <f t="shared" si="13"/>
        <v>270</v>
      </c>
      <c r="M7" s="69">
        <f t="shared" si="13"/>
        <v>270</v>
      </c>
      <c r="N7" s="69">
        <f>90*Funcionários!C64</f>
        <v>270</v>
      </c>
      <c r="O7" s="69">
        <f t="shared" ref="O7:Y7" si="14">N7</f>
        <v>270</v>
      </c>
      <c r="P7" s="69">
        <f t="shared" si="14"/>
        <v>270</v>
      </c>
      <c r="Q7" s="69">
        <f t="shared" si="14"/>
        <v>270</v>
      </c>
      <c r="R7" s="69">
        <f t="shared" si="14"/>
        <v>270</v>
      </c>
      <c r="S7" s="69">
        <f t="shared" si="14"/>
        <v>270</v>
      </c>
      <c r="T7" s="69">
        <f t="shared" si="14"/>
        <v>270</v>
      </c>
      <c r="U7" s="69">
        <f t="shared" si="14"/>
        <v>270</v>
      </c>
      <c r="V7" s="69">
        <f t="shared" si="14"/>
        <v>270</v>
      </c>
      <c r="W7" s="69">
        <f t="shared" si="14"/>
        <v>270</v>
      </c>
      <c r="X7" s="69">
        <f t="shared" si="14"/>
        <v>270</v>
      </c>
      <c r="Y7" s="69">
        <f t="shared" si="14"/>
        <v>270</v>
      </c>
      <c r="Z7" s="69">
        <f>90*Funcionários!D64</f>
        <v>270</v>
      </c>
      <c r="AA7" s="69">
        <f t="shared" ref="AA7:AK7" si="15">Z7</f>
        <v>270</v>
      </c>
      <c r="AB7" s="69">
        <f t="shared" si="15"/>
        <v>270</v>
      </c>
      <c r="AC7" s="69">
        <f t="shared" si="15"/>
        <v>270</v>
      </c>
      <c r="AD7" s="69">
        <f t="shared" si="15"/>
        <v>270</v>
      </c>
      <c r="AE7" s="69">
        <f t="shared" si="15"/>
        <v>270</v>
      </c>
      <c r="AF7" s="69">
        <f t="shared" si="15"/>
        <v>270</v>
      </c>
      <c r="AG7" s="69">
        <f t="shared" si="15"/>
        <v>270</v>
      </c>
      <c r="AH7" s="69">
        <f t="shared" si="15"/>
        <v>270</v>
      </c>
      <c r="AI7" s="69">
        <f t="shared" si="15"/>
        <v>270</v>
      </c>
      <c r="AJ7" s="69">
        <f t="shared" si="15"/>
        <v>270</v>
      </c>
      <c r="AK7" s="69">
        <f t="shared" si="15"/>
        <v>270</v>
      </c>
      <c r="AL7" s="69">
        <f>90*Funcionários!E64</f>
        <v>360</v>
      </c>
      <c r="AM7" s="69">
        <f t="shared" ref="AM7:AW7" si="16">AL7</f>
        <v>360</v>
      </c>
      <c r="AN7" s="69">
        <f t="shared" si="16"/>
        <v>360</v>
      </c>
      <c r="AO7" s="69">
        <f t="shared" si="16"/>
        <v>360</v>
      </c>
      <c r="AP7" s="69">
        <f t="shared" si="16"/>
        <v>360</v>
      </c>
      <c r="AQ7" s="69">
        <f t="shared" si="16"/>
        <v>360</v>
      </c>
      <c r="AR7" s="69">
        <f t="shared" si="16"/>
        <v>360</v>
      </c>
      <c r="AS7" s="69">
        <f t="shared" si="16"/>
        <v>360</v>
      </c>
      <c r="AT7" s="69">
        <f t="shared" si="16"/>
        <v>360</v>
      </c>
      <c r="AU7" s="69">
        <f t="shared" si="16"/>
        <v>360</v>
      </c>
      <c r="AV7" s="69">
        <f t="shared" si="16"/>
        <v>360</v>
      </c>
      <c r="AW7" s="69">
        <f t="shared" si="16"/>
        <v>360</v>
      </c>
      <c r="AX7" s="69">
        <f>90*Funcionários!F64</f>
        <v>450</v>
      </c>
      <c r="AY7" s="69">
        <f t="shared" ref="AY7:BI7" si="17">AX7</f>
        <v>450</v>
      </c>
      <c r="AZ7" s="69">
        <f t="shared" si="17"/>
        <v>450</v>
      </c>
      <c r="BA7" s="69">
        <f t="shared" si="17"/>
        <v>450</v>
      </c>
      <c r="BB7" s="69">
        <f t="shared" si="17"/>
        <v>450</v>
      </c>
      <c r="BC7" s="69">
        <f t="shared" si="17"/>
        <v>450</v>
      </c>
      <c r="BD7" s="69">
        <f t="shared" si="17"/>
        <v>450</v>
      </c>
      <c r="BE7" s="69">
        <f t="shared" si="17"/>
        <v>450</v>
      </c>
      <c r="BF7" s="69">
        <f t="shared" si="17"/>
        <v>450</v>
      </c>
      <c r="BG7" s="69">
        <f t="shared" si="17"/>
        <v>450</v>
      </c>
      <c r="BH7" s="69">
        <f t="shared" si="17"/>
        <v>450</v>
      </c>
      <c r="BI7" s="69">
        <f t="shared" si="17"/>
        <v>450</v>
      </c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</row>
    <row r="8" spans="1:81" ht="15.75">
      <c r="A8" s="84" t="s">
        <v>40</v>
      </c>
      <c r="B8" s="61">
        <f t="shared" ref="B8:BI8" si="18">SUM(B5:B7)</f>
        <v>945</v>
      </c>
      <c r="C8" s="61">
        <f t="shared" si="18"/>
        <v>290</v>
      </c>
      <c r="D8" s="61">
        <f t="shared" si="18"/>
        <v>290</v>
      </c>
      <c r="E8" s="61">
        <f t="shared" si="18"/>
        <v>290</v>
      </c>
      <c r="F8" s="61">
        <f t="shared" si="18"/>
        <v>290</v>
      </c>
      <c r="G8" s="61">
        <f t="shared" si="18"/>
        <v>290</v>
      </c>
      <c r="H8" s="61">
        <f t="shared" si="18"/>
        <v>290</v>
      </c>
      <c r="I8" s="61">
        <f t="shared" si="18"/>
        <v>290</v>
      </c>
      <c r="J8" s="61">
        <f t="shared" si="18"/>
        <v>290</v>
      </c>
      <c r="K8" s="61">
        <f t="shared" si="18"/>
        <v>290</v>
      </c>
      <c r="L8" s="61">
        <f t="shared" si="18"/>
        <v>290</v>
      </c>
      <c r="M8" s="61">
        <f t="shared" si="18"/>
        <v>290</v>
      </c>
      <c r="N8" s="61">
        <f t="shared" si="18"/>
        <v>291.2</v>
      </c>
      <c r="O8" s="61">
        <f t="shared" si="18"/>
        <v>291.2</v>
      </c>
      <c r="P8" s="61">
        <f t="shared" si="18"/>
        <v>291.2</v>
      </c>
      <c r="Q8" s="61">
        <f t="shared" si="18"/>
        <v>291.2</v>
      </c>
      <c r="R8" s="61">
        <f t="shared" si="18"/>
        <v>291.2</v>
      </c>
      <c r="S8" s="61">
        <f t="shared" si="18"/>
        <v>291.2</v>
      </c>
      <c r="T8" s="61">
        <f t="shared" si="18"/>
        <v>291.2</v>
      </c>
      <c r="U8" s="61">
        <f t="shared" si="18"/>
        <v>291.2</v>
      </c>
      <c r="V8" s="61">
        <f t="shared" si="18"/>
        <v>291.2</v>
      </c>
      <c r="W8" s="61">
        <f t="shared" si="18"/>
        <v>291.2</v>
      </c>
      <c r="X8" s="61">
        <f t="shared" si="18"/>
        <v>291.2</v>
      </c>
      <c r="Y8" s="61">
        <f t="shared" si="18"/>
        <v>291.2</v>
      </c>
      <c r="Z8" s="61">
        <f t="shared" si="18"/>
        <v>292.47199999999998</v>
      </c>
      <c r="AA8" s="61">
        <f t="shared" si="18"/>
        <v>292.47199999999998</v>
      </c>
      <c r="AB8" s="61">
        <f t="shared" si="18"/>
        <v>292.47199999999998</v>
      </c>
      <c r="AC8" s="61">
        <f t="shared" si="18"/>
        <v>292.47199999999998</v>
      </c>
      <c r="AD8" s="61">
        <f t="shared" si="18"/>
        <v>292.47199999999998</v>
      </c>
      <c r="AE8" s="61">
        <f t="shared" si="18"/>
        <v>292.47199999999998</v>
      </c>
      <c r="AF8" s="61">
        <f t="shared" si="18"/>
        <v>292.47199999999998</v>
      </c>
      <c r="AG8" s="61">
        <f t="shared" si="18"/>
        <v>292.47199999999998</v>
      </c>
      <c r="AH8" s="61">
        <f t="shared" si="18"/>
        <v>292.47199999999998</v>
      </c>
      <c r="AI8" s="61">
        <f t="shared" si="18"/>
        <v>292.47199999999998</v>
      </c>
      <c r="AJ8" s="61">
        <f t="shared" si="18"/>
        <v>292.47199999999998</v>
      </c>
      <c r="AK8" s="61">
        <f t="shared" si="18"/>
        <v>292.47199999999998</v>
      </c>
      <c r="AL8" s="61">
        <f t="shared" si="18"/>
        <v>383.82031999999998</v>
      </c>
      <c r="AM8" s="61">
        <f t="shared" si="18"/>
        <v>383.82031999999998</v>
      </c>
      <c r="AN8" s="61">
        <f t="shared" si="18"/>
        <v>383.82031999999998</v>
      </c>
      <c r="AO8" s="61">
        <f t="shared" si="18"/>
        <v>383.82031999999998</v>
      </c>
      <c r="AP8" s="61">
        <f t="shared" si="18"/>
        <v>383.82031999999998</v>
      </c>
      <c r="AQ8" s="61">
        <f t="shared" si="18"/>
        <v>383.82031999999998</v>
      </c>
      <c r="AR8" s="61">
        <f t="shared" si="18"/>
        <v>383.82031999999998</v>
      </c>
      <c r="AS8" s="61">
        <f t="shared" si="18"/>
        <v>383.82031999999998</v>
      </c>
      <c r="AT8" s="61">
        <f t="shared" si="18"/>
        <v>383.82031999999998</v>
      </c>
      <c r="AU8" s="61">
        <f t="shared" si="18"/>
        <v>383.82031999999998</v>
      </c>
      <c r="AV8" s="61">
        <f t="shared" si="18"/>
        <v>383.82031999999998</v>
      </c>
      <c r="AW8" s="61">
        <f t="shared" si="18"/>
        <v>1210.7427288000004</v>
      </c>
      <c r="AX8" s="61">
        <f t="shared" si="18"/>
        <v>475.24953920000002</v>
      </c>
      <c r="AY8" s="61">
        <f t="shared" si="18"/>
        <v>475.24953920000002</v>
      </c>
      <c r="AZ8" s="61">
        <f t="shared" si="18"/>
        <v>475.24953920000002</v>
      </c>
      <c r="BA8" s="61">
        <f t="shared" si="18"/>
        <v>475.24953920000002</v>
      </c>
      <c r="BB8" s="61">
        <f t="shared" si="18"/>
        <v>475.24953920000002</v>
      </c>
      <c r="BC8" s="61">
        <f t="shared" si="18"/>
        <v>475.24953920000002</v>
      </c>
      <c r="BD8" s="61">
        <f t="shared" si="18"/>
        <v>475.24953920000002</v>
      </c>
      <c r="BE8" s="61">
        <f t="shared" si="18"/>
        <v>475.24953920000002</v>
      </c>
      <c r="BF8" s="61">
        <f t="shared" si="18"/>
        <v>475.24953920000002</v>
      </c>
      <c r="BG8" s="61">
        <f t="shared" si="18"/>
        <v>475.24953920000002</v>
      </c>
      <c r="BH8" s="61">
        <f t="shared" si="18"/>
        <v>475.24953920000002</v>
      </c>
      <c r="BI8" s="103">
        <f t="shared" si="18"/>
        <v>475.24953920000002</v>
      </c>
      <c r="BJ8" s="67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</row>
    <row r="9" spans="1:81" ht="15.75">
      <c r="D9" s="104"/>
      <c r="E9" s="104"/>
      <c r="F9" s="104"/>
      <c r="G9" s="104"/>
      <c r="H9" s="104"/>
      <c r="I9" s="104"/>
      <c r="J9" s="104"/>
      <c r="K9" s="104"/>
      <c r="L9" s="104"/>
      <c r="BJ9" s="67"/>
    </row>
    <row r="10" spans="1:81" ht="15.75">
      <c r="BJ10" s="67"/>
    </row>
    <row r="11" spans="1:81" ht="15.75">
      <c r="A11" s="96" t="s">
        <v>69</v>
      </c>
      <c r="B11" s="97" t="s">
        <v>22</v>
      </c>
      <c r="C11" s="98" t="s">
        <v>23</v>
      </c>
      <c r="D11" s="97" t="s">
        <v>24</v>
      </c>
      <c r="E11" s="97" t="s">
        <v>25</v>
      </c>
      <c r="F11" s="99" t="s">
        <v>26</v>
      </c>
      <c r="BJ11" s="67"/>
    </row>
    <row r="12" spans="1:81">
      <c r="A12" s="105" t="s">
        <v>70</v>
      </c>
      <c r="B12" s="69">
        <f t="shared" ref="B12:B14" si="19">SUM(B5:M5)</f>
        <v>240</v>
      </c>
      <c r="C12" s="69">
        <f t="shared" ref="C12:C14" si="20">SUM(N5:Y5)</f>
        <v>254.39999999999998</v>
      </c>
      <c r="D12" s="69">
        <f t="shared" ref="D12:D14" si="21">SUM(Z5:AK5)</f>
        <v>269.66400000000004</v>
      </c>
      <c r="E12" s="69">
        <f t="shared" ref="E12:E14" si="22">SUM(AL5:AW5)</f>
        <v>285.84384000000006</v>
      </c>
      <c r="F12" s="69">
        <f t="shared" ref="F12:F14" si="23">SUM(AX5:BI5)</f>
        <v>302.99447040000013</v>
      </c>
    </row>
    <row r="13" spans="1:81">
      <c r="A13" s="105" t="s">
        <v>73</v>
      </c>
      <c r="B13" s="101">
        <f t="shared" si="19"/>
        <v>655</v>
      </c>
      <c r="C13" s="101">
        <f t="shared" si="20"/>
        <v>0</v>
      </c>
      <c r="D13" s="101">
        <f t="shared" si="21"/>
        <v>0</v>
      </c>
      <c r="E13" s="101">
        <f t="shared" si="22"/>
        <v>826.9224088000002</v>
      </c>
      <c r="F13" s="101">
        <f t="shared" si="23"/>
        <v>0</v>
      </c>
    </row>
    <row r="14" spans="1:81">
      <c r="A14" s="105" t="s">
        <v>72</v>
      </c>
      <c r="B14" s="101">
        <f t="shared" si="19"/>
        <v>3240</v>
      </c>
      <c r="C14" s="101">
        <f t="shared" si="20"/>
        <v>3240</v>
      </c>
      <c r="D14" s="101">
        <f t="shared" si="21"/>
        <v>3240</v>
      </c>
      <c r="E14" s="101">
        <f t="shared" si="22"/>
        <v>4320</v>
      </c>
      <c r="F14" s="101">
        <f t="shared" si="23"/>
        <v>5400</v>
      </c>
    </row>
    <row r="15" spans="1:81">
      <c r="A15" s="84" t="s">
        <v>40</v>
      </c>
      <c r="B15" s="61">
        <f t="shared" ref="B15:F15" si="24">SUM(B12:B13)</f>
        <v>895</v>
      </c>
      <c r="C15" s="61">
        <f t="shared" si="24"/>
        <v>254.39999999999998</v>
      </c>
      <c r="D15" s="61">
        <f t="shared" si="24"/>
        <v>269.66400000000004</v>
      </c>
      <c r="E15" s="61">
        <f t="shared" si="24"/>
        <v>1112.7662488000003</v>
      </c>
      <c r="F15" s="61">
        <f t="shared" si="24"/>
        <v>302.99447040000013</v>
      </c>
    </row>
    <row r="21" spans="2:2" ht="15.75" customHeight="1">
      <c r="B21" s="106"/>
    </row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866141732283472" right="0.70866141732283472" top="0.74803149606299213" bottom="0.74803149606299213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C1000"/>
  <sheetViews>
    <sheetView topLeftCell="A31"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42.140625" customWidth="1"/>
    <col min="2" max="2" width="14.28515625" customWidth="1"/>
    <col min="3" max="3" width="12.7109375" customWidth="1"/>
    <col min="4" max="6" width="13.85546875" customWidth="1"/>
    <col min="7" max="61" width="12" customWidth="1"/>
    <col min="62" max="62" width="14" customWidth="1"/>
    <col min="63" max="63" width="11" customWidth="1"/>
    <col min="64" max="72" width="8.85546875" customWidth="1"/>
    <col min="73" max="73" width="12.140625" customWidth="1"/>
    <col min="74" max="75" width="11" customWidth="1"/>
    <col min="76" max="81" width="8.85546875" customWidth="1"/>
  </cols>
  <sheetData>
    <row r="1" spans="1:81" ht="12" customHeight="1">
      <c r="A1" s="107" t="s">
        <v>74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</row>
    <row r="2" spans="1:81" ht="12" customHeight="1">
      <c r="A2" s="109" t="str">
        <f>CONCATENATE(Company, " : ",start, " -  ",end)</f>
        <v>Histyle : Mês 1 -  Mês 60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</row>
    <row r="3" spans="1:81" ht="12" customHeight="1">
      <c r="A3" s="109" t="str">
        <f>CONCATENATE("Valores em ",currency)</f>
        <v>Valores em R$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</row>
    <row r="4" spans="1:81" ht="12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</row>
    <row r="5" spans="1:81" ht="12" customHeight="1">
      <c r="A5" s="111"/>
      <c r="B5" s="112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4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</row>
    <row r="6" spans="1:81" ht="12" customHeight="1">
      <c r="A6" s="116"/>
      <c r="B6" s="117" t="s">
        <v>75</v>
      </c>
      <c r="C6" s="118" t="s">
        <v>76</v>
      </c>
      <c r="D6" s="118" t="s">
        <v>77</v>
      </c>
      <c r="E6" s="118" t="s">
        <v>78</v>
      </c>
      <c r="F6" s="118" t="s">
        <v>79</v>
      </c>
      <c r="G6" s="118" t="s">
        <v>80</v>
      </c>
      <c r="H6" s="118" t="s">
        <v>81</v>
      </c>
      <c r="I6" s="118" t="s">
        <v>82</v>
      </c>
      <c r="J6" s="118" t="s">
        <v>83</v>
      </c>
      <c r="K6" s="118" t="s">
        <v>84</v>
      </c>
      <c r="L6" s="118" t="s">
        <v>85</v>
      </c>
      <c r="M6" s="118" t="s">
        <v>86</v>
      </c>
      <c r="N6" s="118" t="s">
        <v>87</v>
      </c>
      <c r="O6" s="118" t="s">
        <v>88</v>
      </c>
      <c r="P6" s="118" t="s">
        <v>89</v>
      </c>
      <c r="Q6" s="118" t="s">
        <v>90</v>
      </c>
      <c r="R6" s="118" t="s">
        <v>91</v>
      </c>
      <c r="S6" s="118" t="s">
        <v>92</v>
      </c>
      <c r="T6" s="118" t="s">
        <v>93</v>
      </c>
      <c r="U6" s="118" t="s">
        <v>94</v>
      </c>
      <c r="V6" s="118" t="s">
        <v>95</v>
      </c>
      <c r="W6" s="118" t="s">
        <v>96</v>
      </c>
      <c r="X6" s="118" t="s">
        <v>97</v>
      </c>
      <c r="Y6" s="118" t="s">
        <v>98</v>
      </c>
      <c r="Z6" s="118" t="s">
        <v>99</v>
      </c>
      <c r="AA6" s="118" t="s">
        <v>100</v>
      </c>
      <c r="AB6" s="118" t="s">
        <v>101</v>
      </c>
      <c r="AC6" s="118" t="s">
        <v>102</v>
      </c>
      <c r="AD6" s="118" t="s">
        <v>103</v>
      </c>
      <c r="AE6" s="118" t="s">
        <v>104</v>
      </c>
      <c r="AF6" s="118" t="s">
        <v>105</v>
      </c>
      <c r="AG6" s="118" t="s">
        <v>106</v>
      </c>
      <c r="AH6" s="118" t="s">
        <v>107</v>
      </c>
      <c r="AI6" s="118" t="s">
        <v>108</v>
      </c>
      <c r="AJ6" s="118" t="s">
        <v>109</v>
      </c>
      <c r="AK6" s="118" t="s">
        <v>110</v>
      </c>
      <c r="AL6" s="118" t="s">
        <v>111</v>
      </c>
      <c r="AM6" s="118" t="s">
        <v>112</v>
      </c>
      <c r="AN6" s="118" t="s">
        <v>113</v>
      </c>
      <c r="AO6" s="118" t="s">
        <v>114</v>
      </c>
      <c r="AP6" s="118" t="s">
        <v>115</v>
      </c>
      <c r="AQ6" s="118" t="s">
        <v>116</v>
      </c>
      <c r="AR6" s="118" t="s">
        <v>117</v>
      </c>
      <c r="AS6" s="118" t="s">
        <v>118</v>
      </c>
      <c r="AT6" s="118" t="s">
        <v>119</v>
      </c>
      <c r="AU6" s="118" t="s">
        <v>120</v>
      </c>
      <c r="AV6" s="118" t="s">
        <v>121</v>
      </c>
      <c r="AW6" s="118" t="s">
        <v>122</v>
      </c>
      <c r="AX6" s="118" t="s">
        <v>123</v>
      </c>
      <c r="AY6" s="118" t="s">
        <v>124</v>
      </c>
      <c r="AZ6" s="118" t="s">
        <v>125</v>
      </c>
      <c r="BA6" s="118" t="s">
        <v>126</v>
      </c>
      <c r="BB6" s="118" t="s">
        <v>127</v>
      </c>
      <c r="BC6" s="118" t="s">
        <v>128</v>
      </c>
      <c r="BD6" s="118" t="s">
        <v>129</v>
      </c>
      <c r="BE6" s="118" t="s">
        <v>130</v>
      </c>
      <c r="BF6" s="118" t="s">
        <v>131</v>
      </c>
      <c r="BG6" s="118" t="s">
        <v>132</v>
      </c>
      <c r="BH6" s="118" t="s">
        <v>133</v>
      </c>
      <c r="BI6" s="119" t="s">
        <v>134</v>
      </c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</row>
    <row r="7" spans="1:81" ht="12" customHeight="1">
      <c r="A7" s="121" t="s">
        <v>135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3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24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</row>
    <row r="8" spans="1:81" ht="12" customHeight="1">
      <c r="A8" s="125" t="s">
        <v>136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</row>
    <row r="9" spans="1:81" ht="12" customHeight="1">
      <c r="A9" s="128" t="s">
        <v>136</v>
      </c>
      <c r="B9" s="126">
        <v>1</v>
      </c>
      <c r="C9" s="126">
        <v>1</v>
      </c>
      <c r="D9" s="126">
        <v>1</v>
      </c>
      <c r="E9" s="126">
        <v>1</v>
      </c>
      <c r="F9" s="126">
        <f t="shared" ref="F9:BI9" si="0">E9</f>
        <v>1</v>
      </c>
      <c r="G9" s="126">
        <f t="shared" si="0"/>
        <v>1</v>
      </c>
      <c r="H9" s="126">
        <f t="shared" si="0"/>
        <v>1</v>
      </c>
      <c r="I9" s="126">
        <f t="shared" si="0"/>
        <v>1</v>
      </c>
      <c r="J9" s="126">
        <f t="shared" si="0"/>
        <v>1</v>
      </c>
      <c r="K9" s="126">
        <f t="shared" si="0"/>
        <v>1</v>
      </c>
      <c r="L9" s="126">
        <f t="shared" si="0"/>
        <v>1</v>
      </c>
      <c r="M9" s="126">
        <f t="shared" si="0"/>
        <v>1</v>
      </c>
      <c r="N9" s="126">
        <f t="shared" si="0"/>
        <v>1</v>
      </c>
      <c r="O9" s="126">
        <f t="shared" si="0"/>
        <v>1</v>
      </c>
      <c r="P9" s="126">
        <f t="shared" si="0"/>
        <v>1</v>
      </c>
      <c r="Q9" s="126">
        <f t="shared" si="0"/>
        <v>1</v>
      </c>
      <c r="R9" s="126">
        <f t="shared" si="0"/>
        <v>1</v>
      </c>
      <c r="S9" s="126">
        <f t="shared" si="0"/>
        <v>1</v>
      </c>
      <c r="T9" s="126">
        <f t="shared" si="0"/>
        <v>1</v>
      </c>
      <c r="U9" s="126">
        <f t="shared" si="0"/>
        <v>1</v>
      </c>
      <c r="V9" s="126">
        <f t="shared" si="0"/>
        <v>1</v>
      </c>
      <c r="W9" s="126">
        <f t="shared" si="0"/>
        <v>1</v>
      </c>
      <c r="X9" s="126">
        <f t="shared" si="0"/>
        <v>1</v>
      </c>
      <c r="Y9" s="126">
        <f t="shared" si="0"/>
        <v>1</v>
      </c>
      <c r="Z9" s="126">
        <f t="shared" si="0"/>
        <v>1</v>
      </c>
      <c r="AA9" s="126">
        <f t="shared" si="0"/>
        <v>1</v>
      </c>
      <c r="AB9" s="126">
        <f t="shared" si="0"/>
        <v>1</v>
      </c>
      <c r="AC9" s="126">
        <f t="shared" si="0"/>
        <v>1</v>
      </c>
      <c r="AD9" s="126">
        <f t="shared" si="0"/>
        <v>1</v>
      </c>
      <c r="AE9" s="126">
        <f t="shared" si="0"/>
        <v>1</v>
      </c>
      <c r="AF9" s="126">
        <f t="shared" si="0"/>
        <v>1</v>
      </c>
      <c r="AG9" s="126">
        <f t="shared" si="0"/>
        <v>1</v>
      </c>
      <c r="AH9" s="126">
        <f t="shared" si="0"/>
        <v>1</v>
      </c>
      <c r="AI9" s="126">
        <f t="shared" si="0"/>
        <v>1</v>
      </c>
      <c r="AJ9" s="126">
        <f t="shared" si="0"/>
        <v>1</v>
      </c>
      <c r="AK9" s="126">
        <f t="shared" si="0"/>
        <v>1</v>
      </c>
      <c r="AL9" s="126">
        <f t="shared" si="0"/>
        <v>1</v>
      </c>
      <c r="AM9" s="126">
        <f t="shared" si="0"/>
        <v>1</v>
      </c>
      <c r="AN9" s="126">
        <f t="shared" si="0"/>
        <v>1</v>
      </c>
      <c r="AO9" s="126">
        <f t="shared" si="0"/>
        <v>1</v>
      </c>
      <c r="AP9" s="126">
        <f t="shared" si="0"/>
        <v>1</v>
      </c>
      <c r="AQ9" s="126">
        <f t="shared" si="0"/>
        <v>1</v>
      </c>
      <c r="AR9" s="126">
        <f t="shared" si="0"/>
        <v>1</v>
      </c>
      <c r="AS9" s="126">
        <f t="shared" si="0"/>
        <v>1</v>
      </c>
      <c r="AT9" s="126">
        <f t="shared" si="0"/>
        <v>1</v>
      </c>
      <c r="AU9" s="126">
        <f t="shared" si="0"/>
        <v>1</v>
      </c>
      <c r="AV9" s="126">
        <f t="shared" si="0"/>
        <v>1</v>
      </c>
      <c r="AW9" s="126">
        <f t="shared" si="0"/>
        <v>1</v>
      </c>
      <c r="AX9" s="126">
        <f t="shared" si="0"/>
        <v>1</v>
      </c>
      <c r="AY9" s="126">
        <f t="shared" si="0"/>
        <v>1</v>
      </c>
      <c r="AZ9" s="126">
        <f t="shared" si="0"/>
        <v>1</v>
      </c>
      <c r="BA9" s="126">
        <f t="shared" si="0"/>
        <v>1</v>
      </c>
      <c r="BB9" s="126">
        <f t="shared" si="0"/>
        <v>1</v>
      </c>
      <c r="BC9" s="126">
        <f t="shared" si="0"/>
        <v>1</v>
      </c>
      <c r="BD9" s="126">
        <f t="shared" si="0"/>
        <v>1</v>
      </c>
      <c r="BE9" s="126">
        <f t="shared" si="0"/>
        <v>1</v>
      </c>
      <c r="BF9" s="126">
        <f t="shared" si="0"/>
        <v>1</v>
      </c>
      <c r="BG9" s="126">
        <f t="shared" si="0"/>
        <v>1</v>
      </c>
      <c r="BH9" s="126">
        <f t="shared" si="0"/>
        <v>1</v>
      </c>
      <c r="BI9" s="126">
        <f t="shared" si="0"/>
        <v>1</v>
      </c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</row>
    <row r="10" spans="1:81" ht="12" customHeight="1">
      <c r="A10" s="125" t="s">
        <v>137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</row>
    <row r="11" spans="1:81" ht="12" customHeight="1">
      <c r="A11" s="128" t="s">
        <v>138</v>
      </c>
      <c r="B11" s="126">
        <v>1</v>
      </c>
      <c r="C11" s="126">
        <f t="shared" ref="C11:AJ11" si="1">B11</f>
        <v>1</v>
      </c>
      <c r="D11" s="126">
        <f t="shared" si="1"/>
        <v>1</v>
      </c>
      <c r="E11" s="126">
        <f t="shared" si="1"/>
        <v>1</v>
      </c>
      <c r="F11" s="126">
        <f t="shared" si="1"/>
        <v>1</v>
      </c>
      <c r="G11" s="126">
        <f t="shared" si="1"/>
        <v>1</v>
      </c>
      <c r="H11" s="126">
        <f t="shared" si="1"/>
        <v>1</v>
      </c>
      <c r="I11" s="126">
        <f t="shared" si="1"/>
        <v>1</v>
      </c>
      <c r="J11" s="126">
        <f t="shared" si="1"/>
        <v>1</v>
      </c>
      <c r="K11" s="126">
        <f t="shared" si="1"/>
        <v>1</v>
      </c>
      <c r="L11" s="126">
        <f t="shared" si="1"/>
        <v>1</v>
      </c>
      <c r="M11" s="126">
        <f t="shared" si="1"/>
        <v>1</v>
      </c>
      <c r="N11" s="126">
        <f t="shared" si="1"/>
        <v>1</v>
      </c>
      <c r="O11" s="126">
        <f t="shared" si="1"/>
        <v>1</v>
      </c>
      <c r="P11" s="126">
        <f t="shared" si="1"/>
        <v>1</v>
      </c>
      <c r="Q11" s="126">
        <f t="shared" si="1"/>
        <v>1</v>
      </c>
      <c r="R11" s="126">
        <f t="shared" si="1"/>
        <v>1</v>
      </c>
      <c r="S11" s="126">
        <f t="shared" si="1"/>
        <v>1</v>
      </c>
      <c r="T11" s="126">
        <f t="shared" si="1"/>
        <v>1</v>
      </c>
      <c r="U11" s="126">
        <f t="shared" si="1"/>
        <v>1</v>
      </c>
      <c r="V11" s="126">
        <f t="shared" si="1"/>
        <v>1</v>
      </c>
      <c r="W11" s="126">
        <f t="shared" si="1"/>
        <v>1</v>
      </c>
      <c r="X11" s="126">
        <f t="shared" si="1"/>
        <v>1</v>
      </c>
      <c r="Y11" s="126">
        <f t="shared" si="1"/>
        <v>1</v>
      </c>
      <c r="Z11" s="126">
        <f t="shared" si="1"/>
        <v>1</v>
      </c>
      <c r="AA11" s="126">
        <f t="shared" si="1"/>
        <v>1</v>
      </c>
      <c r="AB11" s="126">
        <f t="shared" si="1"/>
        <v>1</v>
      </c>
      <c r="AC11" s="126">
        <f t="shared" si="1"/>
        <v>1</v>
      </c>
      <c r="AD11" s="126">
        <f t="shared" si="1"/>
        <v>1</v>
      </c>
      <c r="AE11" s="126">
        <f t="shared" si="1"/>
        <v>1</v>
      </c>
      <c r="AF11" s="126">
        <f t="shared" si="1"/>
        <v>1</v>
      </c>
      <c r="AG11" s="126">
        <f t="shared" si="1"/>
        <v>1</v>
      </c>
      <c r="AH11" s="126">
        <f t="shared" si="1"/>
        <v>1</v>
      </c>
      <c r="AI11" s="126">
        <f t="shared" si="1"/>
        <v>1</v>
      </c>
      <c r="AJ11" s="126">
        <f t="shared" si="1"/>
        <v>1</v>
      </c>
      <c r="AK11" s="126">
        <v>1</v>
      </c>
      <c r="AL11" s="126">
        <f t="shared" ref="AL11:BI11" si="2">AK11</f>
        <v>1</v>
      </c>
      <c r="AM11" s="126">
        <f t="shared" si="2"/>
        <v>1</v>
      </c>
      <c r="AN11" s="126">
        <f t="shared" si="2"/>
        <v>1</v>
      </c>
      <c r="AO11" s="126">
        <f t="shared" si="2"/>
        <v>1</v>
      </c>
      <c r="AP11" s="126">
        <f t="shared" si="2"/>
        <v>1</v>
      </c>
      <c r="AQ11" s="126">
        <f t="shared" si="2"/>
        <v>1</v>
      </c>
      <c r="AR11" s="126">
        <f t="shared" si="2"/>
        <v>1</v>
      </c>
      <c r="AS11" s="126">
        <f t="shared" si="2"/>
        <v>1</v>
      </c>
      <c r="AT11" s="126">
        <f t="shared" si="2"/>
        <v>1</v>
      </c>
      <c r="AU11" s="126">
        <f t="shared" si="2"/>
        <v>1</v>
      </c>
      <c r="AV11" s="126">
        <f t="shared" si="2"/>
        <v>1</v>
      </c>
      <c r="AW11" s="126">
        <f t="shared" si="2"/>
        <v>1</v>
      </c>
      <c r="AX11" s="126">
        <f t="shared" si="2"/>
        <v>1</v>
      </c>
      <c r="AY11" s="126">
        <f t="shared" si="2"/>
        <v>1</v>
      </c>
      <c r="AZ11" s="126">
        <f t="shared" si="2"/>
        <v>1</v>
      </c>
      <c r="BA11" s="126">
        <f t="shared" si="2"/>
        <v>1</v>
      </c>
      <c r="BB11" s="126">
        <f t="shared" si="2"/>
        <v>1</v>
      </c>
      <c r="BC11" s="126">
        <f t="shared" si="2"/>
        <v>1</v>
      </c>
      <c r="BD11" s="126">
        <f t="shared" si="2"/>
        <v>1</v>
      </c>
      <c r="BE11" s="126">
        <f t="shared" si="2"/>
        <v>1</v>
      </c>
      <c r="BF11" s="126">
        <f t="shared" si="2"/>
        <v>1</v>
      </c>
      <c r="BG11" s="126">
        <f t="shared" si="2"/>
        <v>1</v>
      </c>
      <c r="BH11" s="126">
        <f t="shared" si="2"/>
        <v>1</v>
      </c>
      <c r="BI11" s="126">
        <f t="shared" si="2"/>
        <v>1</v>
      </c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</row>
    <row r="12" spans="1:81" ht="12" customHeight="1">
      <c r="A12" s="128" t="s">
        <v>139</v>
      </c>
      <c r="B12" s="126">
        <v>1</v>
      </c>
      <c r="C12" s="126">
        <f t="shared" ref="C12:AJ12" si="3">B12</f>
        <v>1</v>
      </c>
      <c r="D12" s="126">
        <f t="shared" si="3"/>
        <v>1</v>
      </c>
      <c r="E12" s="126">
        <f t="shared" si="3"/>
        <v>1</v>
      </c>
      <c r="F12" s="126">
        <f t="shared" si="3"/>
        <v>1</v>
      </c>
      <c r="G12" s="126">
        <f t="shared" si="3"/>
        <v>1</v>
      </c>
      <c r="H12" s="126">
        <f t="shared" si="3"/>
        <v>1</v>
      </c>
      <c r="I12" s="126">
        <f t="shared" si="3"/>
        <v>1</v>
      </c>
      <c r="J12" s="126">
        <f t="shared" si="3"/>
        <v>1</v>
      </c>
      <c r="K12" s="126">
        <f t="shared" si="3"/>
        <v>1</v>
      </c>
      <c r="L12" s="126">
        <f t="shared" si="3"/>
        <v>1</v>
      </c>
      <c r="M12" s="126">
        <f t="shared" si="3"/>
        <v>1</v>
      </c>
      <c r="N12" s="126">
        <f t="shared" si="3"/>
        <v>1</v>
      </c>
      <c r="O12" s="126">
        <f t="shared" si="3"/>
        <v>1</v>
      </c>
      <c r="P12" s="126">
        <f t="shared" si="3"/>
        <v>1</v>
      </c>
      <c r="Q12" s="126">
        <f t="shared" si="3"/>
        <v>1</v>
      </c>
      <c r="R12" s="126">
        <f t="shared" si="3"/>
        <v>1</v>
      </c>
      <c r="S12" s="126">
        <f t="shared" si="3"/>
        <v>1</v>
      </c>
      <c r="T12" s="126">
        <f t="shared" si="3"/>
        <v>1</v>
      </c>
      <c r="U12" s="126">
        <f t="shared" si="3"/>
        <v>1</v>
      </c>
      <c r="V12" s="126">
        <f t="shared" si="3"/>
        <v>1</v>
      </c>
      <c r="W12" s="126">
        <f t="shared" si="3"/>
        <v>1</v>
      </c>
      <c r="X12" s="126">
        <f t="shared" si="3"/>
        <v>1</v>
      </c>
      <c r="Y12" s="126">
        <f t="shared" si="3"/>
        <v>1</v>
      </c>
      <c r="Z12" s="126">
        <f t="shared" si="3"/>
        <v>1</v>
      </c>
      <c r="AA12" s="126">
        <f t="shared" si="3"/>
        <v>1</v>
      </c>
      <c r="AB12" s="126">
        <f t="shared" si="3"/>
        <v>1</v>
      </c>
      <c r="AC12" s="126">
        <f t="shared" si="3"/>
        <v>1</v>
      </c>
      <c r="AD12" s="126">
        <f t="shared" si="3"/>
        <v>1</v>
      </c>
      <c r="AE12" s="126">
        <f t="shared" si="3"/>
        <v>1</v>
      </c>
      <c r="AF12" s="126">
        <f t="shared" si="3"/>
        <v>1</v>
      </c>
      <c r="AG12" s="126">
        <f t="shared" si="3"/>
        <v>1</v>
      </c>
      <c r="AH12" s="126">
        <f t="shared" si="3"/>
        <v>1</v>
      </c>
      <c r="AI12" s="126">
        <f t="shared" si="3"/>
        <v>1</v>
      </c>
      <c r="AJ12" s="126">
        <f t="shared" si="3"/>
        <v>1</v>
      </c>
      <c r="AK12" s="126">
        <v>2</v>
      </c>
      <c r="AL12" s="126">
        <f t="shared" ref="AL12:BI12" si="4">AK12</f>
        <v>2</v>
      </c>
      <c r="AM12" s="126">
        <f t="shared" si="4"/>
        <v>2</v>
      </c>
      <c r="AN12" s="126">
        <f t="shared" si="4"/>
        <v>2</v>
      </c>
      <c r="AO12" s="126">
        <f t="shared" si="4"/>
        <v>2</v>
      </c>
      <c r="AP12" s="126">
        <f t="shared" si="4"/>
        <v>2</v>
      </c>
      <c r="AQ12" s="126">
        <f t="shared" si="4"/>
        <v>2</v>
      </c>
      <c r="AR12" s="126">
        <f t="shared" si="4"/>
        <v>2</v>
      </c>
      <c r="AS12" s="126">
        <f t="shared" si="4"/>
        <v>2</v>
      </c>
      <c r="AT12" s="126">
        <f t="shared" si="4"/>
        <v>2</v>
      </c>
      <c r="AU12" s="126">
        <f t="shared" si="4"/>
        <v>2</v>
      </c>
      <c r="AV12" s="126">
        <f t="shared" si="4"/>
        <v>2</v>
      </c>
      <c r="AW12" s="126">
        <f t="shared" si="4"/>
        <v>2</v>
      </c>
      <c r="AX12" s="126">
        <f t="shared" si="4"/>
        <v>2</v>
      </c>
      <c r="AY12" s="126">
        <f t="shared" si="4"/>
        <v>2</v>
      </c>
      <c r="AZ12" s="126">
        <f t="shared" si="4"/>
        <v>2</v>
      </c>
      <c r="BA12" s="126">
        <f t="shared" si="4"/>
        <v>2</v>
      </c>
      <c r="BB12" s="126">
        <f t="shared" si="4"/>
        <v>2</v>
      </c>
      <c r="BC12" s="126">
        <f t="shared" si="4"/>
        <v>2</v>
      </c>
      <c r="BD12" s="126">
        <f t="shared" si="4"/>
        <v>2</v>
      </c>
      <c r="BE12" s="126">
        <f t="shared" si="4"/>
        <v>2</v>
      </c>
      <c r="BF12" s="126">
        <f t="shared" si="4"/>
        <v>2</v>
      </c>
      <c r="BG12" s="126">
        <f t="shared" si="4"/>
        <v>2</v>
      </c>
      <c r="BH12" s="126">
        <f t="shared" si="4"/>
        <v>2</v>
      </c>
      <c r="BI12" s="126">
        <f t="shared" si="4"/>
        <v>2</v>
      </c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CB12" s="127"/>
      <c r="CC12" s="127"/>
    </row>
    <row r="13" spans="1:81" ht="12" customHeight="1">
      <c r="A13" s="128" t="s">
        <v>140</v>
      </c>
      <c r="B13" s="126">
        <v>0</v>
      </c>
      <c r="C13" s="126">
        <v>0</v>
      </c>
      <c r="D13" s="126">
        <v>0</v>
      </c>
      <c r="E13" s="126">
        <v>0</v>
      </c>
      <c r="F13" s="126">
        <v>0</v>
      </c>
      <c r="G13" s="126">
        <v>0</v>
      </c>
      <c r="H13" s="126">
        <v>0</v>
      </c>
      <c r="I13" s="126">
        <v>0</v>
      </c>
      <c r="J13" s="126">
        <v>0</v>
      </c>
      <c r="K13" s="126">
        <v>0</v>
      </c>
      <c r="L13" s="126">
        <v>0</v>
      </c>
      <c r="M13" s="126">
        <v>0</v>
      </c>
      <c r="N13" s="126">
        <v>0</v>
      </c>
      <c r="O13" s="126">
        <v>0</v>
      </c>
      <c r="P13" s="126">
        <v>0</v>
      </c>
      <c r="Q13" s="126">
        <v>0</v>
      </c>
      <c r="R13" s="126">
        <v>0</v>
      </c>
      <c r="S13" s="126">
        <v>0</v>
      </c>
      <c r="T13" s="126">
        <v>0</v>
      </c>
      <c r="U13" s="126">
        <v>0</v>
      </c>
      <c r="V13" s="126">
        <v>0</v>
      </c>
      <c r="W13" s="126">
        <v>0</v>
      </c>
      <c r="X13" s="126">
        <v>0</v>
      </c>
      <c r="Y13" s="126">
        <v>0</v>
      </c>
      <c r="Z13" s="126">
        <v>0</v>
      </c>
      <c r="AA13" s="126">
        <v>0</v>
      </c>
      <c r="AB13" s="126">
        <v>0</v>
      </c>
      <c r="AC13" s="126">
        <v>0</v>
      </c>
      <c r="AD13" s="126">
        <v>0</v>
      </c>
      <c r="AE13" s="126">
        <v>0</v>
      </c>
      <c r="AF13" s="126">
        <v>0</v>
      </c>
      <c r="AG13" s="126">
        <v>0</v>
      </c>
      <c r="AH13" s="126">
        <v>0</v>
      </c>
      <c r="AI13" s="126">
        <v>0</v>
      </c>
      <c r="AJ13" s="126">
        <v>0</v>
      </c>
      <c r="AK13" s="126">
        <v>0</v>
      </c>
      <c r="AL13" s="126">
        <v>0</v>
      </c>
      <c r="AM13" s="126">
        <v>0</v>
      </c>
      <c r="AN13" s="126">
        <v>0</v>
      </c>
      <c r="AO13" s="126">
        <v>0</v>
      </c>
      <c r="AP13" s="126">
        <v>0</v>
      </c>
      <c r="AQ13" s="126">
        <v>0</v>
      </c>
      <c r="AR13" s="126">
        <v>0</v>
      </c>
      <c r="AS13" s="126">
        <v>0</v>
      </c>
      <c r="AT13" s="126">
        <v>0</v>
      </c>
      <c r="AU13" s="126">
        <v>0</v>
      </c>
      <c r="AV13" s="126">
        <v>0</v>
      </c>
      <c r="AW13" s="126">
        <v>1</v>
      </c>
      <c r="AX13" s="126">
        <f t="shared" ref="AX13:BI13" si="5">AW13</f>
        <v>1</v>
      </c>
      <c r="AY13" s="126">
        <f t="shared" si="5"/>
        <v>1</v>
      </c>
      <c r="AZ13" s="126">
        <f t="shared" si="5"/>
        <v>1</v>
      </c>
      <c r="BA13" s="126">
        <f t="shared" si="5"/>
        <v>1</v>
      </c>
      <c r="BB13" s="126">
        <f t="shared" si="5"/>
        <v>1</v>
      </c>
      <c r="BC13" s="126">
        <f t="shared" si="5"/>
        <v>1</v>
      </c>
      <c r="BD13" s="126">
        <f t="shared" si="5"/>
        <v>1</v>
      </c>
      <c r="BE13" s="126">
        <f t="shared" si="5"/>
        <v>1</v>
      </c>
      <c r="BF13" s="126">
        <f t="shared" si="5"/>
        <v>1</v>
      </c>
      <c r="BG13" s="126">
        <f t="shared" si="5"/>
        <v>1</v>
      </c>
      <c r="BH13" s="126">
        <f t="shared" si="5"/>
        <v>1</v>
      </c>
      <c r="BI13" s="126">
        <f t="shared" si="5"/>
        <v>1</v>
      </c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</row>
    <row r="14" spans="1:81" ht="12" customHeight="1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</row>
    <row r="15" spans="1:81" ht="12" customHeight="1">
      <c r="A15" s="131" t="s">
        <v>141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33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</row>
    <row r="16" spans="1:81" ht="12" customHeight="1">
      <c r="A16" s="125" t="s">
        <v>142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</row>
    <row r="17" spans="1:81" ht="12" customHeight="1">
      <c r="A17" s="128" t="s">
        <v>136</v>
      </c>
      <c r="B17" s="135">
        <v>2000</v>
      </c>
      <c r="C17" s="136">
        <f t="shared" ref="C17:M17" si="6">B17</f>
        <v>2000</v>
      </c>
      <c r="D17" s="136">
        <f t="shared" si="6"/>
        <v>2000</v>
      </c>
      <c r="E17" s="136">
        <f t="shared" si="6"/>
        <v>2000</v>
      </c>
      <c r="F17" s="136">
        <f t="shared" si="6"/>
        <v>2000</v>
      </c>
      <c r="G17" s="136">
        <f t="shared" si="6"/>
        <v>2000</v>
      </c>
      <c r="H17" s="136">
        <f t="shared" si="6"/>
        <v>2000</v>
      </c>
      <c r="I17" s="136">
        <f t="shared" si="6"/>
        <v>2000</v>
      </c>
      <c r="J17" s="136">
        <f t="shared" si="6"/>
        <v>2000</v>
      </c>
      <c r="K17" s="136">
        <f t="shared" si="6"/>
        <v>2000</v>
      </c>
      <c r="L17" s="136">
        <f t="shared" si="6"/>
        <v>2000</v>
      </c>
      <c r="M17" s="136">
        <f t="shared" si="6"/>
        <v>2000</v>
      </c>
      <c r="N17" s="136">
        <f t="shared" ref="N17:N21" si="7">M17*1.06</f>
        <v>2120</v>
      </c>
      <c r="O17" s="136">
        <f t="shared" ref="O17:Y17" si="8">N17</f>
        <v>2120</v>
      </c>
      <c r="P17" s="136">
        <f t="shared" si="8"/>
        <v>2120</v>
      </c>
      <c r="Q17" s="136">
        <f t="shared" si="8"/>
        <v>2120</v>
      </c>
      <c r="R17" s="136">
        <f t="shared" si="8"/>
        <v>2120</v>
      </c>
      <c r="S17" s="136">
        <f t="shared" si="8"/>
        <v>2120</v>
      </c>
      <c r="T17" s="136">
        <f t="shared" si="8"/>
        <v>2120</v>
      </c>
      <c r="U17" s="136">
        <f t="shared" si="8"/>
        <v>2120</v>
      </c>
      <c r="V17" s="136">
        <f t="shared" si="8"/>
        <v>2120</v>
      </c>
      <c r="W17" s="136">
        <f t="shared" si="8"/>
        <v>2120</v>
      </c>
      <c r="X17" s="136">
        <f t="shared" si="8"/>
        <v>2120</v>
      </c>
      <c r="Y17" s="136">
        <f t="shared" si="8"/>
        <v>2120</v>
      </c>
      <c r="Z17" s="136">
        <f t="shared" ref="Z17:Z21" si="9">Y17*1.06</f>
        <v>2247.2000000000003</v>
      </c>
      <c r="AA17" s="136">
        <f t="shared" ref="AA17:AK17" si="10">Z17</f>
        <v>2247.2000000000003</v>
      </c>
      <c r="AB17" s="136">
        <f t="shared" si="10"/>
        <v>2247.2000000000003</v>
      </c>
      <c r="AC17" s="136">
        <f t="shared" si="10"/>
        <v>2247.2000000000003</v>
      </c>
      <c r="AD17" s="136">
        <f t="shared" si="10"/>
        <v>2247.2000000000003</v>
      </c>
      <c r="AE17" s="136">
        <f t="shared" si="10"/>
        <v>2247.2000000000003</v>
      </c>
      <c r="AF17" s="136">
        <f t="shared" si="10"/>
        <v>2247.2000000000003</v>
      </c>
      <c r="AG17" s="136">
        <f t="shared" si="10"/>
        <v>2247.2000000000003</v>
      </c>
      <c r="AH17" s="136">
        <f t="shared" si="10"/>
        <v>2247.2000000000003</v>
      </c>
      <c r="AI17" s="136">
        <f t="shared" si="10"/>
        <v>2247.2000000000003</v>
      </c>
      <c r="AJ17" s="136">
        <f t="shared" si="10"/>
        <v>2247.2000000000003</v>
      </c>
      <c r="AK17" s="136">
        <f t="shared" si="10"/>
        <v>2247.2000000000003</v>
      </c>
      <c r="AL17" s="136">
        <f t="shared" ref="AL17:AL21" si="11">AK17*1.06</f>
        <v>2382.0320000000006</v>
      </c>
      <c r="AM17" s="136">
        <f t="shared" ref="AM17:AW17" si="12">AL17</f>
        <v>2382.0320000000006</v>
      </c>
      <c r="AN17" s="136">
        <f t="shared" si="12"/>
        <v>2382.0320000000006</v>
      </c>
      <c r="AO17" s="136">
        <f t="shared" si="12"/>
        <v>2382.0320000000006</v>
      </c>
      <c r="AP17" s="136">
        <f t="shared" si="12"/>
        <v>2382.0320000000006</v>
      </c>
      <c r="AQ17" s="136">
        <f t="shared" si="12"/>
        <v>2382.0320000000006</v>
      </c>
      <c r="AR17" s="136">
        <f t="shared" si="12"/>
        <v>2382.0320000000006</v>
      </c>
      <c r="AS17" s="136">
        <f t="shared" si="12"/>
        <v>2382.0320000000006</v>
      </c>
      <c r="AT17" s="136">
        <f t="shared" si="12"/>
        <v>2382.0320000000006</v>
      </c>
      <c r="AU17" s="136">
        <f t="shared" si="12"/>
        <v>2382.0320000000006</v>
      </c>
      <c r="AV17" s="136">
        <f t="shared" si="12"/>
        <v>2382.0320000000006</v>
      </c>
      <c r="AW17" s="136">
        <f t="shared" si="12"/>
        <v>2382.0320000000006</v>
      </c>
      <c r="AX17" s="136">
        <f t="shared" ref="AX17:AX21" si="13">AW17*1.06</f>
        <v>2524.9539200000008</v>
      </c>
      <c r="AY17" s="136">
        <f t="shared" ref="AY17:BI17" si="14">AX17</f>
        <v>2524.9539200000008</v>
      </c>
      <c r="AZ17" s="136">
        <f t="shared" si="14"/>
        <v>2524.9539200000008</v>
      </c>
      <c r="BA17" s="136">
        <f t="shared" si="14"/>
        <v>2524.9539200000008</v>
      </c>
      <c r="BB17" s="136">
        <f t="shared" si="14"/>
        <v>2524.9539200000008</v>
      </c>
      <c r="BC17" s="136">
        <f t="shared" si="14"/>
        <v>2524.9539200000008</v>
      </c>
      <c r="BD17" s="136">
        <f t="shared" si="14"/>
        <v>2524.9539200000008</v>
      </c>
      <c r="BE17" s="136">
        <f t="shared" si="14"/>
        <v>2524.9539200000008</v>
      </c>
      <c r="BF17" s="136">
        <f t="shared" si="14"/>
        <v>2524.9539200000008</v>
      </c>
      <c r="BG17" s="136">
        <f t="shared" si="14"/>
        <v>2524.9539200000008</v>
      </c>
      <c r="BH17" s="136">
        <f t="shared" si="14"/>
        <v>2524.9539200000008</v>
      </c>
      <c r="BI17" s="136">
        <f t="shared" si="14"/>
        <v>2524.9539200000008</v>
      </c>
      <c r="BJ17" s="110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</row>
    <row r="18" spans="1:81" ht="12" customHeight="1">
      <c r="A18" s="125" t="str">
        <f t="shared" ref="A18:A20" si="15">A10</f>
        <v>OPERACIONAL</v>
      </c>
      <c r="B18" s="135"/>
      <c r="C18" s="136">
        <f t="shared" ref="C18:M18" si="16">B18</f>
        <v>0</v>
      </c>
      <c r="D18" s="136">
        <f t="shared" si="16"/>
        <v>0</v>
      </c>
      <c r="E18" s="136">
        <f t="shared" si="16"/>
        <v>0</v>
      </c>
      <c r="F18" s="136">
        <f t="shared" si="16"/>
        <v>0</v>
      </c>
      <c r="G18" s="136">
        <f t="shared" si="16"/>
        <v>0</v>
      </c>
      <c r="H18" s="136">
        <f t="shared" si="16"/>
        <v>0</v>
      </c>
      <c r="I18" s="136">
        <f t="shared" si="16"/>
        <v>0</v>
      </c>
      <c r="J18" s="136">
        <f t="shared" si="16"/>
        <v>0</v>
      </c>
      <c r="K18" s="136">
        <f t="shared" si="16"/>
        <v>0</v>
      </c>
      <c r="L18" s="136">
        <f t="shared" si="16"/>
        <v>0</v>
      </c>
      <c r="M18" s="136">
        <f t="shared" si="16"/>
        <v>0</v>
      </c>
      <c r="N18" s="136">
        <f t="shared" si="7"/>
        <v>0</v>
      </c>
      <c r="O18" s="136">
        <f t="shared" ref="O18:Y18" si="17">N18</f>
        <v>0</v>
      </c>
      <c r="P18" s="136">
        <f t="shared" si="17"/>
        <v>0</v>
      </c>
      <c r="Q18" s="136">
        <f t="shared" si="17"/>
        <v>0</v>
      </c>
      <c r="R18" s="136">
        <f t="shared" si="17"/>
        <v>0</v>
      </c>
      <c r="S18" s="136">
        <f t="shared" si="17"/>
        <v>0</v>
      </c>
      <c r="T18" s="136">
        <f t="shared" si="17"/>
        <v>0</v>
      </c>
      <c r="U18" s="136">
        <f t="shared" si="17"/>
        <v>0</v>
      </c>
      <c r="V18" s="136">
        <f t="shared" si="17"/>
        <v>0</v>
      </c>
      <c r="W18" s="136">
        <f t="shared" si="17"/>
        <v>0</v>
      </c>
      <c r="X18" s="136">
        <f t="shared" si="17"/>
        <v>0</v>
      </c>
      <c r="Y18" s="136">
        <f t="shared" si="17"/>
        <v>0</v>
      </c>
      <c r="Z18" s="136">
        <f t="shared" si="9"/>
        <v>0</v>
      </c>
      <c r="AA18" s="136">
        <f t="shared" ref="AA18:AK18" si="18">Z18</f>
        <v>0</v>
      </c>
      <c r="AB18" s="136">
        <f t="shared" si="18"/>
        <v>0</v>
      </c>
      <c r="AC18" s="136">
        <f t="shared" si="18"/>
        <v>0</v>
      </c>
      <c r="AD18" s="136">
        <f t="shared" si="18"/>
        <v>0</v>
      </c>
      <c r="AE18" s="136">
        <f t="shared" si="18"/>
        <v>0</v>
      </c>
      <c r="AF18" s="136">
        <f t="shared" si="18"/>
        <v>0</v>
      </c>
      <c r="AG18" s="136">
        <f t="shared" si="18"/>
        <v>0</v>
      </c>
      <c r="AH18" s="136">
        <f t="shared" si="18"/>
        <v>0</v>
      </c>
      <c r="AI18" s="136">
        <f t="shared" si="18"/>
        <v>0</v>
      </c>
      <c r="AJ18" s="136">
        <f t="shared" si="18"/>
        <v>0</v>
      </c>
      <c r="AK18" s="136">
        <f t="shared" si="18"/>
        <v>0</v>
      </c>
      <c r="AL18" s="136">
        <f t="shared" si="11"/>
        <v>0</v>
      </c>
      <c r="AM18" s="136">
        <f t="shared" ref="AM18:AW18" si="19">AL18</f>
        <v>0</v>
      </c>
      <c r="AN18" s="136">
        <f t="shared" si="19"/>
        <v>0</v>
      </c>
      <c r="AO18" s="136">
        <f t="shared" si="19"/>
        <v>0</v>
      </c>
      <c r="AP18" s="136">
        <f t="shared" si="19"/>
        <v>0</v>
      </c>
      <c r="AQ18" s="136">
        <f t="shared" si="19"/>
        <v>0</v>
      </c>
      <c r="AR18" s="136">
        <f t="shared" si="19"/>
        <v>0</v>
      </c>
      <c r="AS18" s="136">
        <f t="shared" si="19"/>
        <v>0</v>
      </c>
      <c r="AT18" s="136">
        <f t="shared" si="19"/>
        <v>0</v>
      </c>
      <c r="AU18" s="136">
        <f t="shared" si="19"/>
        <v>0</v>
      </c>
      <c r="AV18" s="136">
        <f t="shared" si="19"/>
        <v>0</v>
      </c>
      <c r="AW18" s="136">
        <f t="shared" si="19"/>
        <v>0</v>
      </c>
      <c r="AX18" s="136">
        <f t="shared" si="13"/>
        <v>0</v>
      </c>
      <c r="AY18" s="136">
        <f t="shared" ref="AY18:BI18" si="20">AX18</f>
        <v>0</v>
      </c>
      <c r="AZ18" s="136">
        <f t="shared" si="20"/>
        <v>0</v>
      </c>
      <c r="BA18" s="136">
        <f t="shared" si="20"/>
        <v>0</v>
      </c>
      <c r="BB18" s="136">
        <f t="shared" si="20"/>
        <v>0</v>
      </c>
      <c r="BC18" s="136">
        <f t="shared" si="20"/>
        <v>0</v>
      </c>
      <c r="BD18" s="136">
        <f t="shared" si="20"/>
        <v>0</v>
      </c>
      <c r="BE18" s="136">
        <f t="shared" si="20"/>
        <v>0</v>
      </c>
      <c r="BF18" s="136">
        <f t="shared" si="20"/>
        <v>0</v>
      </c>
      <c r="BG18" s="136">
        <f t="shared" si="20"/>
        <v>0</v>
      </c>
      <c r="BH18" s="136">
        <f t="shared" si="20"/>
        <v>0</v>
      </c>
      <c r="BI18" s="136">
        <f t="shared" si="20"/>
        <v>0</v>
      </c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BY18" s="110"/>
      <c r="BZ18" s="110"/>
      <c r="CA18" s="110"/>
      <c r="CB18" s="110"/>
      <c r="CC18" s="110"/>
    </row>
    <row r="19" spans="1:81" ht="12" customHeight="1">
      <c r="A19" s="138" t="str">
        <f t="shared" si="15"/>
        <v>DESENVOLVEDOR DE JOGOS</v>
      </c>
      <c r="B19" s="135">
        <v>2000</v>
      </c>
      <c r="C19" s="136">
        <f t="shared" ref="C19:M19" si="21">B19</f>
        <v>2000</v>
      </c>
      <c r="D19" s="136">
        <f t="shared" si="21"/>
        <v>2000</v>
      </c>
      <c r="E19" s="136">
        <f t="shared" si="21"/>
        <v>2000</v>
      </c>
      <c r="F19" s="136">
        <f t="shared" si="21"/>
        <v>2000</v>
      </c>
      <c r="G19" s="136">
        <f t="shared" si="21"/>
        <v>2000</v>
      </c>
      <c r="H19" s="136">
        <f t="shared" si="21"/>
        <v>2000</v>
      </c>
      <c r="I19" s="136">
        <f t="shared" si="21"/>
        <v>2000</v>
      </c>
      <c r="J19" s="136">
        <f t="shared" si="21"/>
        <v>2000</v>
      </c>
      <c r="K19" s="136">
        <f t="shared" si="21"/>
        <v>2000</v>
      </c>
      <c r="L19" s="136">
        <f t="shared" si="21"/>
        <v>2000</v>
      </c>
      <c r="M19" s="136">
        <f t="shared" si="21"/>
        <v>2000</v>
      </c>
      <c r="N19" s="136">
        <f t="shared" si="7"/>
        <v>2120</v>
      </c>
      <c r="O19" s="136">
        <f t="shared" ref="O19:Y19" si="22">N19</f>
        <v>2120</v>
      </c>
      <c r="P19" s="136">
        <f t="shared" si="22"/>
        <v>2120</v>
      </c>
      <c r="Q19" s="136">
        <f t="shared" si="22"/>
        <v>2120</v>
      </c>
      <c r="R19" s="136">
        <f t="shared" si="22"/>
        <v>2120</v>
      </c>
      <c r="S19" s="136">
        <f t="shared" si="22"/>
        <v>2120</v>
      </c>
      <c r="T19" s="136">
        <f t="shared" si="22"/>
        <v>2120</v>
      </c>
      <c r="U19" s="136">
        <f t="shared" si="22"/>
        <v>2120</v>
      </c>
      <c r="V19" s="136">
        <f t="shared" si="22"/>
        <v>2120</v>
      </c>
      <c r="W19" s="136">
        <f t="shared" si="22"/>
        <v>2120</v>
      </c>
      <c r="X19" s="136">
        <f t="shared" si="22"/>
        <v>2120</v>
      </c>
      <c r="Y19" s="136">
        <f t="shared" si="22"/>
        <v>2120</v>
      </c>
      <c r="Z19" s="136">
        <f t="shared" si="9"/>
        <v>2247.2000000000003</v>
      </c>
      <c r="AA19" s="136">
        <f t="shared" ref="AA19:AK19" si="23">Z19</f>
        <v>2247.2000000000003</v>
      </c>
      <c r="AB19" s="136">
        <f t="shared" si="23"/>
        <v>2247.2000000000003</v>
      </c>
      <c r="AC19" s="136">
        <f t="shared" si="23"/>
        <v>2247.2000000000003</v>
      </c>
      <c r="AD19" s="136">
        <f t="shared" si="23"/>
        <v>2247.2000000000003</v>
      </c>
      <c r="AE19" s="136">
        <f t="shared" si="23"/>
        <v>2247.2000000000003</v>
      </c>
      <c r="AF19" s="136">
        <f t="shared" si="23"/>
        <v>2247.2000000000003</v>
      </c>
      <c r="AG19" s="136">
        <f t="shared" si="23"/>
        <v>2247.2000000000003</v>
      </c>
      <c r="AH19" s="136">
        <f t="shared" si="23"/>
        <v>2247.2000000000003</v>
      </c>
      <c r="AI19" s="136">
        <f t="shared" si="23"/>
        <v>2247.2000000000003</v>
      </c>
      <c r="AJ19" s="136">
        <f t="shared" si="23"/>
        <v>2247.2000000000003</v>
      </c>
      <c r="AK19" s="136">
        <f t="shared" si="23"/>
        <v>2247.2000000000003</v>
      </c>
      <c r="AL19" s="136">
        <f t="shared" si="11"/>
        <v>2382.0320000000006</v>
      </c>
      <c r="AM19" s="136">
        <f t="shared" ref="AM19:AW19" si="24">AL19</f>
        <v>2382.0320000000006</v>
      </c>
      <c r="AN19" s="136">
        <f t="shared" si="24"/>
        <v>2382.0320000000006</v>
      </c>
      <c r="AO19" s="136">
        <f t="shared" si="24"/>
        <v>2382.0320000000006</v>
      </c>
      <c r="AP19" s="136">
        <f t="shared" si="24"/>
        <v>2382.0320000000006</v>
      </c>
      <c r="AQ19" s="136">
        <f t="shared" si="24"/>
        <v>2382.0320000000006</v>
      </c>
      <c r="AR19" s="136">
        <f t="shared" si="24"/>
        <v>2382.0320000000006</v>
      </c>
      <c r="AS19" s="136">
        <f t="shared" si="24"/>
        <v>2382.0320000000006</v>
      </c>
      <c r="AT19" s="136">
        <f t="shared" si="24"/>
        <v>2382.0320000000006</v>
      </c>
      <c r="AU19" s="136">
        <f t="shared" si="24"/>
        <v>2382.0320000000006</v>
      </c>
      <c r="AV19" s="136">
        <f t="shared" si="24"/>
        <v>2382.0320000000006</v>
      </c>
      <c r="AW19" s="136">
        <f t="shared" si="24"/>
        <v>2382.0320000000006</v>
      </c>
      <c r="AX19" s="136">
        <f t="shared" si="13"/>
        <v>2524.9539200000008</v>
      </c>
      <c r="AY19" s="136">
        <f t="shared" ref="AY19:BI19" si="25">AX19</f>
        <v>2524.9539200000008</v>
      </c>
      <c r="AZ19" s="136">
        <f t="shared" si="25"/>
        <v>2524.9539200000008</v>
      </c>
      <c r="BA19" s="136">
        <f t="shared" si="25"/>
        <v>2524.9539200000008</v>
      </c>
      <c r="BB19" s="136">
        <f t="shared" si="25"/>
        <v>2524.9539200000008</v>
      </c>
      <c r="BC19" s="136">
        <f t="shared" si="25"/>
        <v>2524.9539200000008</v>
      </c>
      <c r="BD19" s="136">
        <f t="shared" si="25"/>
        <v>2524.9539200000008</v>
      </c>
      <c r="BE19" s="136">
        <f t="shared" si="25"/>
        <v>2524.9539200000008</v>
      </c>
      <c r="BF19" s="136">
        <f t="shared" si="25"/>
        <v>2524.9539200000008</v>
      </c>
      <c r="BG19" s="136">
        <f t="shared" si="25"/>
        <v>2524.9539200000008</v>
      </c>
      <c r="BH19" s="136">
        <f t="shared" si="25"/>
        <v>2524.9539200000008</v>
      </c>
      <c r="BI19" s="136">
        <f t="shared" si="25"/>
        <v>2524.9539200000008</v>
      </c>
      <c r="BJ19" s="110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</row>
    <row r="20" spans="1:81" ht="12" customHeight="1">
      <c r="A20" s="128" t="str">
        <f t="shared" si="15"/>
        <v>ARTISTA GRÁFICO</v>
      </c>
      <c r="B20" s="135">
        <v>2000</v>
      </c>
      <c r="C20" s="136">
        <f t="shared" ref="C20:M20" si="26">B20</f>
        <v>2000</v>
      </c>
      <c r="D20" s="136">
        <f t="shared" si="26"/>
        <v>2000</v>
      </c>
      <c r="E20" s="136">
        <f t="shared" si="26"/>
        <v>2000</v>
      </c>
      <c r="F20" s="136">
        <f t="shared" si="26"/>
        <v>2000</v>
      </c>
      <c r="G20" s="136">
        <f t="shared" si="26"/>
        <v>2000</v>
      </c>
      <c r="H20" s="136">
        <f t="shared" si="26"/>
        <v>2000</v>
      </c>
      <c r="I20" s="136">
        <f t="shared" si="26"/>
        <v>2000</v>
      </c>
      <c r="J20" s="136">
        <f t="shared" si="26"/>
        <v>2000</v>
      </c>
      <c r="K20" s="136">
        <f t="shared" si="26"/>
        <v>2000</v>
      </c>
      <c r="L20" s="136">
        <f t="shared" si="26"/>
        <v>2000</v>
      </c>
      <c r="M20" s="136">
        <f t="shared" si="26"/>
        <v>2000</v>
      </c>
      <c r="N20" s="136">
        <f t="shared" si="7"/>
        <v>2120</v>
      </c>
      <c r="O20" s="136">
        <f t="shared" ref="O20:Y20" si="27">N20</f>
        <v>2120</v>
      </c>
      <c r="P20" s="136">
        <f t="shared" si="27"/>
        <v>2120</v>
      </c>
      <c r="Q20" s="136">
        <f t="shared" si="27"/>
        <v>2120</v>
      </c>
      <c r="R20" s="136">
        <f t="shared" si="27"/>
        <v>2120</v>
      </c>
      <c r="S20" s="136">
        <f t="shared" si="27"/>
        <v>2120</v>
      </c>
      <c r="T20" s="136">
        <f t="shared" si="27"/>
        <v>2120</v>
      </c>
      <c r="U20" s="136">
        <f t="shared" si="27"/>
        <v>2120</v>
      </c>
      <c r="V20" s="136">
        <f t="shared" si="27"/>
        <v>2120</v>
      </c>
      <c r="W20" s="136">
        <f t="shared" si="27"/>
        <v>2120</v>
      </c>
      <c r="X20" s="136">
        <f t="shared" si="27"/>
        <v>2120</v>
      </c>
      <c r="Y20" s="136">
        <f t="shared" si="27"/>
        <v>2120</v>
      </c>
      <c r="Z20" s="136">
        <f t="shared" si="9"/>
        <v>2247.2000000000003</v>
      </c>
      <c r="AA20" s="136">
        <f t="shared" ref="AA20:AK20" si="28">Z20</f>
        <v>2247.2000000000003</v>
      </c>
      <c r="AB20" s="136">
        <f t="shared" si="28"/>
        <v>2247.2000000000003</v>
      </c>
      <c r="AC20" s="136">
        <f t="shared" si="28"/>
        <v>2247.2000000000003</v>
      </c>
      <c r="AD20" s="136">
        <f t="shared" si="28"/>
        <v>2247.2000000000003</v>
      </c>
      <c r="AE20" s="136">
        <f t="shared" si="28"/>
        <v>2247.2000000000003</v>
      </c>
      <c r="AF20" s="136">
        <f t="shared" si="28"/>
        <v>2247.2000000000003</v>
      </c>
      <c r="AG20" s="136">
        <f t="shared" si="28"/>
        <v>2247.2000000000003</v>
      </c>
      <c r="AH20" s="136">
        <f t="shared" si="28"/>
        <v>2247.2000000000003</v>
      </c>
      <c r="AI20" s="136">
        <f t="shared" si="28"/>
        <v>2247.2000000000003</v>
      </c>
      <c r="AJ20" s="136">
        <f t="shared" si="28"/>
        <v>2247.2000000000003</v>
      </c>
      <c r="AK20" s="136">
        <f t="shared" si="28"/>
        <v>2247.2000000000003</v>
      </c>
      <c r="AL20" s="136">
        <f t="shared" si="11"/>
        <v>2382.0320000000006</v>
      </c>
      <c r="AM20" s="136">
        <f t="shared" ref="AM20:AW20" si="29">AL20</f>
        <v>2382.0320000000006</v>
      </c>
      <c r="AN20" s="136">
        <f t="shared" si="29"/>
        <v>2382.0320000000006</v>
      </c>
      <c r="AO20" s="136">
        <f t="shared" si="29"/>
        <v>2382.0320000000006</v>
      </c>
      <c r="AP20" s="136">
        <f t="shared" si="29"/>
        <v>2382.0320000000006</v>
      </c>
      <c r="AQ20" s="136">
        <f t="shared" si="29"/>
        <v>2382.0320000000006</v>
      </c>
      <c r="AR20" s="136">
        <f t="shared" si="29"/>
        <v>2382.0320000000006</v>
      </c>
      <c r="AS20" s="136">
        <f t="shared" si="29"/>
        <v>2382.0320000000006</v>
      </c>
      <c r="AT20" s="136">
        <f t="shared" si="29"/>
        <v>2382.0320000000006</v>
      </c>
      <c r="AU20" s="136">
        <f t="shared" si="29"/>
        <v>2382.0320000000006</v>
      </c>
      <c r="AV20" s="136">
        <f t="shared" si="29"/>
        <v>2382.0320000000006</v>
      </c>
      <c r="AW20" s="136">
        <f t="shared" si="29"/>
        <v>2382.0320000000006</v>
      </c>
      <c r="AX20" s="136">
        <f t="shared" si="13"/>
        <v>2524.9539200000008</v>
      </c>
      <c r="AY20" s="136">
        <f t="shared" ref="AY20:BI20" si="30">AX20</f>
        <v>2524.9539200000008</v>
      </c>
      <c r="AZ20" s="136">
        <f t="shared" si="30"/>
        <v>2524.9539200000008</v>
      </c>
      <c r="BA20" s="136">
        <f t="shared" si="30"/>
        <v>2524.9539200000008</v>
      </c>
      <c r="BB20" s="136">
        <f t="shared" si="30"/>
        <v>2524.9539200000008</v>
      </c>
      <c r="BC20" s="136">
        <f t="shared" si="30"/>
        <v>2524.9539200000008</v>
      </c>
      <c r="BD20" s="136">
        <f t="shared" si="30"/>
        <v>2524.9539200000008</v>
      </c>
      <c r="BE20" s="136">
        <f t="shared" si="30"/>
        <v>2524.9539200000008</v>
      </c>
      <c r="BF20" s="136">
        <f t="shared" si="30"/>
        <v>2524.9539200000008</v>
      </c>
      <c r="BG20" s="136">
        <f t="shared" si="30"/>
        <v>2524.9539200000008</v>
      </c>
      <c r="BH20" s="136">
        <f t="shared" si="30"/>
        <v>2524.9539200000008</v>
      </c>
      <c r="BI20" s="136">
        <f t="shared" si="30"/>
        <v>2524.9539200000008</v>
      </c>
      <c r="BJ20" s="110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</row>
    <row r="21" spans="1:81" ht="12" customHeight="1">
      <c r="A21" s="128" t="s">
        <v>140</v>
      </c>
      <c r="B21" s="135">
        <v>2000</v>
      </c>
      <c r="C21" s="136">
        <f t="shared" ref="C21:M21" si="31">B21</f>
        <v>2000</v>
      </c>
      <c r="D21" s="136">
        <f t="shared" si="31"/>
        <v>2000</v>
      </c>
      <c r="E21" s="136">
        <f t="shared" si="31"/>
        <v>2000</v>
      </c>
      <c r="F21" s="136">
        <f t="shared" si="31"/>
        <v>2000</v>
      </c>
      <c r="G21" s="136">
        <f t="shared" si="31"/>
        <v>2000</v>
      </c>
      <c r="H21" s="136">
        <f t="shared" si="31"/>
        <v>2000</v>
      </c>
      <c r="I21" s="136">
        <f t="shared" si="31"/>
        <v>2000</v>
      </c>
      <c r="J21" s="136">
        <f t="shared" si="31"/>
        <v>2000</v>
      </c>
      <c r="K21" s="136">
        <f t="shared" si="31"/>
        <v>2000</v>
      </c>
      <c r="L21" s="136">
        <f t="shared" si="31"/>
        <v>2000</v>
      </c>
      <c r="M21" s="136">
        <f t="shared" si="31"/>
        <v>2000</v>
      </c>
      <c r="N21" s="136">
        <f t="shared" si="7"/>
        <v>2120</v>
      </c>
      <c r="O21" s="136">
        <f t="shared" ref="O21:Y21" si="32">N21</f>
        <v>2120</v>
      </c>
      <c r="P21" s="136">
        <f t="shared" si="32"/>
        <v>2120</v>
      </c>
      <c r="Q21" s="136">
        <f t="shared" si="32"/>
        <v>2120</v>
      </c>
      <c r="R21" s="136">
        <f t="shared" si="32"/>
        <v>2120</v>
      </c>
      <c r="S21" s="136">
        <f t="shared" si="32"/>
        <v>2120</v>
      </c>
      <c r="T21" s="136">
        <f t="shared" si="32"/>
        <v>2120</v>
      </c>
      <c r="U21" s="136">
        <f t="shared" si="32"/>
        <v>2120</v>
      </c>
      <c r="V21" s="136">
        <f t="shared" si="32"/>
        <v>2120</v>
      </c>
      <c r="W21" s="136">
        <f t="shared" si="32"/>
        <v>2120</v>
      </c>
      <c r="X21" s="136">
        <f t="shared" si="32"/>
        <v>2120</v>
      </c>
      <c r="Y21" s="136">
        <f t="shared" si="32"/>
        <v>2120</v>
      </c>
      <c r="Z21" s="136">
        <f t="shared" si="9"/>
        <v>2247.2000000000003</v>
      </c>
      <c r="AA21" s="136">
        <f t="shared" ref="AA21:AK21" si="33">Z21</f>
        <v>2247.2000000000003</v>
      </c>
      <c r="AB21" s="136">
        <f t="shared" si="33"/>
        <v>2247.2000000000003</v>
      </c>
      <c r="AC21" s="136">
        <f t="shared" si="33"/>
        <v>2247.2000000000003</v>
      </c>
      <c r="AD21" s="136">
        <f t="shared" si="33"/>
        <v>2247.2000000000003</v>
      </c>
      <c r="AE21" s="136">
        <f t="shared" si="33"/>
        <v>2247.2000000000003</v>
      </c>
      <c r="AF21" s="136">
        <f t="shared" si="33"/>
        <v>2247.2000000000003</v>
      </c>
      <c r="AG21" s="136">
        <f t="shared" si="33"/>
        <v>2247.2000000000003</v>
      </c>
      <c r="AH21" s="136">
        <f t="shared" si="33"/>
        <v>2247.2000000000003</v>
      </c>
      <c r="AI21" s="136">
        <f t="shared" si="33"/>
        <v>2247.2000000000003</v>
      </c>
      <c r="AJ21" s="136">
        <f t="shared" si="33"/>
        <v>2247.2000000000003</v>
      </c>
      <c r="AK21" s="136">
        <f t="shared" si="33"/>
        <v>2247.2000000000003</v>
      </c>
      <c r="AL21" s="136">
        <f t="shared" si="11"/>
        <v>2382.0320000000006</v>
      </c>
      <c r="AM21" s="136">
        <f t="shared" ref="AM21:AW21" si="34">AL21</f>
        <v>2382.0320000000006</v>
      </c>
      <c r="AN21" s="136">
        <f t="shared" si="34"/>
        <v>2382.0320000000006</v>
      </c>
      <c r="AO21" s="136">
        <f t="shared" si="34"/>
        <v>2382.0320000000006</v>
      </c>
      <c r="AP21" s="136">
        <f t="shared" si="34"/>
        <v>2382.0320000000006</v>
      </c>
      <c r="AQ21" s="136">
        <f t="shared" si="34"/>
        <v>2382.0320000000006</v>
      </c>
      <c r="AR21" s="136">
        <f t="shared" si="34"/>
        <v>2382.0320000000006</v>
      </c>
      <c r="AS21" s="136">
        <f t="shared" si="34"/>
        <v>2382.0320000000006</v>
      </c>
      <c r="AT21" s="136">
        <f t="shared" si="34"/>
        <v>2382.0320000000006</v>
      </c>
      <c r="AU21" s="136">
        <f t="shared" si="34"/>
        <v>2382.0320000000006</v>
      </c>
      <c r="AV21" s="136">
        <f t="shared" si="34"/>
        <v>2382.0320000000006</v>
      </c>
      <c r="AW21" s="136">
        <f t="shared" si="34"/>
        <v>2382.0320000000006</v>
      </c>
      <c r="AX21" s="136">
        <f t="shared" si="13"/>
        <v>2524.9539200000008</v>
      </c>
      <c r="AY21" s="136">
        <f t="shared" ref="AY21:BI21" si="35">AX21</f>
        <v>2524.9539200000008</v>
      </c>
      <c r="AZ21" s="136">
        <f t="shared" si="35"/>
        <v>2524.9539200000008</v>
      </c>
      <c r="BA21" s="136">
        <f t="shared" si="35"/>
        <v>2524.9539200000008</v>
      </c>
      <c r="BB21" s="136">
        <f t="shared" si="35"/>
        <v>2524.9539200000008</v>
      </c>
      <c r="BC21" s="136">
        <f t="shared" si="35"/>
        <v>2524.9539200000008</v>
      </c>
      <c r="BD21" s="136">
        <f t="shared" si="35"/>
        <v>2524.9539200000008</v>
      </c>
      <c r="BE21" s="136">
        <f t="shared" si="35"/>
        <v>2524.9539200000008</v>
      </c>
      <c r="BF21" s="136">
        <f t="shared" si="35"/>
        <v>2524.9539200000008</v>
      </c>
      <c r="BG21" s="136">
        <f t="shared" si="35"/>
        <v>2524.9539200000008</v>
      </c>
      <c r="BH21" s="136">
        <f t="shared" si="35"/>
        <v>2524.9539200000008</v>
      </c>
      <c r="BI21" s="136">
        <f t="shared" si="35"/>
        <v>2524.9539200000008</v>
      </c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</row>
    <row r="22" spans="1:81" ht="12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  <c r="BJ22" s="140"/>
      <c r="BK22" s="140"/>
      <c r="BL22" s="140"/>
      <c r="BM22" s="140"/>
      <c r="BN22" s="140"/>
      <c r="BO22" s="140"/>
      <c r="BP22" s="140"/>
      <c r="BQ22" s="140"/>
      <c r="BR22" s="140"/>
      <c r="BS22" s="140"/>
      <c r="BT22" s="140"/>
      <c r="BU22" s="140"/>
      <c r="BV22" s="140"/>
      <c r="BW22" s="140"/>
      <c r="BX22" s="140"/>
      <c r="BY22" s="140"/>
      <c r="BZ22" s="140"/>
      <c r="CA22" s="140"/>
      <c r="CB22" s="140"/>
      <c r="CC22" s="140"/>
    </row>
    <row r="23" spans="1:81" ht="12" customHeight="1">
      <c r="A23" s="131" t="s">
        <v>143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39"/>
      <c r="BK23" s="139"/>
      <c r="BL23" s="139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  <c r="BY23" s="110"/>
      <c r="BZ23" s="110"/>
      <c r="CA23" s="110"/>
      <c r="CB23" s="110"/>
      <c r="CC23" s="110"/>
    </row>
    <row r="24" spans="1:81" ht="12" customHeight="1">
      <c r="A24" s="125" t="s">
        <v>142</v>
      </c>
      <c r="B24" s="141">
        <f t="shared" ref="B24:BI24" si="36">B16*B8</f>
        <v>0</v>
      </c>
      <c r="C24" s="141">
        <f t="shared" si="36"/>
        <v>0</v>
      </c>
      <c r="D24" s="141">
        <f t="shared" si="36"/>
        <v>0</v>
      </c>
      <c r="E24" s="141">
        <f t="shared" si="36"/>
        <v>0</v>
      </c>
      <c r="F24" s="141">
        <f t="shared" si="36"/>
        <v>0</v>
      </c>
      <c r="G24" s="141">
        <f t="shared" si="36"/>
        <v>0</v>
      </c>
      <c r="H24" s="141">
        <f t="shared" si="36"/>
        <v>0</v>
      </c>
      <c r="I24" s="141">
        <f t="shared" si="36"/>
        <v>0</v>
      </c>
      <c r="J24" s="141">
        <f t="shared" si="36"/>
        <v>0</v>
      </c>
      <c r="K24" s="141">
        <f t="shared" si="36"/>
        <v>0</v>
      </c>
      <c r="L24" s="141">
        <f t="shared" si="36"/>
        <v>0</v>
      </c>
      <c r="M24" s="141">
        <f t="shared" si="36"/>
        <v>0</v>
      </c>
      <c r="N24" s="141">
        <f t="shared" si="36"/>
        <v>0</v>
      </c>
      <c r="O24" s="141">
        <f t="shared" si="36"/>
        <v>0</v>
      </c>
      <c r="P24" s="141">
        <f t="shared" si="36"/>
        <v>0</v>
      </c>
      <c r="Q24" s="141">
        <f t="shared" si="36"/>
        <v>0</v>
      </c>
      <c r="R24" s="141">
        <f t="shared" si="36"/>
        <v>0</v>
      </c>
      <c r="S24" s="141">
        <f t="shared" si="36"/>
        <v>0</v>
      </c>
      <c r="T24" s="141">
        <f t="shared" si="36"/>
        <v>0</v>
      </c>
      <c r="U24" s="141">
        <f t="shared" si="36"/>
        <v>0</v>
      </c>
      <c r="V24" s="141">
        <f t="shared" si="36"/>
        <v>0</v>
      </c>
      <c r="W24" s="141">
        <f t="shared" si="36"/>
        <v>0</v>
      </c>
      <c r="X24" s="141">
        <f t="shared" si="36"/>
        <v>0</v>
      </c>
      <c r="Y24" s="141">
        <f t="shared" si="36"/>
        <v>0</v>
      </c>
      <c r="Z24" s="141">
        <f t="shared" si="36"/>
        <v>0</v>
      </c>
      <c r="AA24" s="141">
        <f t="shared" si="36"/>
        <v>0</v>
      </c>
      <c r="AB24" s="141">
        <f t="shared" si="36"/>
        <v>0</v>
      </c>
      <c r="AC24" s="141">
        <f t="shared" si="36"/>
        <v>0</v>
      </c>
      <c r="AD24" s="141">
        <f t="shared" si="36"/>
        <v>0</v>
      </c>
      <c r="AE24" s="141">
        <f t="shared" si="36"/>
        <v>0</v>
      </c>
      <c r="AF24" s="141">
        <f t="shared" si="36"/>
        <v>0</v>
      </c>
      <c r="AG24" s="141">
        <f t="shared" si="36"/>
        <v>0</v>
      </c>
      <c r="AH24" s="141">
        <f t="shared" si="36"/>
        <v>0</v>
      </c>
      <c r="AI24" s="141">
        <f t="shared" si="36"/>
        <v>0</v>
      </c>
      <c r="AJ24" s="141">
        <f t="shared" si="36"/>
        <v>0</v>
      </c>
      <c r="AK24" s="141">
        <f t="shared" si="36"/>
        <v>0</v>
      </c>
      <c r="AL24" s="141">
        <f t="shared" si="36"/>
        <v>0</v>
      </c>
      <c r="AM24" s="141">
        <f t="shared" si="36"/>
        <v>0</v>
      </c>
      <c r="AN24" s="141">
        <f t="shared" si="36"/>
        <v>0</v>
      </c>
      <c r="AO24" s="141">
        <f t="shared" si="36"/>
        <v>0</v>
      </c>
      <c r="AP24" s="141">
        <f t="shared" si="36"/>
        <v>0</v>
      </c>
      <c r="AQ24" s="141">
        <f t="shared" si="36"/>
        <v>0</v>
      </c>
      <c r="AR24" s="141">
        <f t="shared" si="36"/>
        <v>0</v>
      </c>
      <c r="AS24" s="141">
        <f t="shared" si="36"/>
        <v>0</v>
      </c>
      <c r="AT24" s="141">
        <f t="shared" si="36"/>
        <v>0</v>
      </c>
      <c r="AU24" s="141">
        <f t="shared" si="36"/>
        <v>0</v>
      </c>
      <c r="AV24" s="141">
        <f t="shared" si="36"/>
        <v>0</v>
      </c>
      <c r="AW24" s="141">
        <f t="shared" si="36"/>
        <v>0</v>
      </c>
      <c r="AX24" s="141">
        <f t="shared" si="36"/>
        <v>0</v>
      </c>
      <c r="AY24" s="141">
        <f t="shared" si="36"/>
        <v>0</v>
      </c>
      <c r="AZ24" s="141">
        <f t="shared" si="36"/>
        <v>0</v>
      </c>
      <c r="BA24" s="141">
        <f t="shared" si="36"/>
        <v>0</v>
      </c>
      <c r="BB24" s="141">
        <f t="shared" si="36"/>
        <v>0</v>
      </c>
      <c r="BC24" s="141">
        <f t="shared" si="36"/>
        <v>0</v>
      </c>
      <c r="BD24" s="141">
        <f t="shared" si="36"/>
        <v>0</v>
      </c>
      <c r="BE24" s="141">
        <f t="shared" si="36"/>
        <v>0</v>
      </c>
      <c r="BF24" s="141">
        <f t="shared" si="36"/>
        <v>0</v>
      </c>
      <c r="BG24" s="141">
        <f t="shared" si="36"/>
        <v>0</v>
      </c>
      <c r="BH24" s="141">
        <f t="shared" si="36"/>
        <v>0</v>
      </c>
      <c r="BI24" s="141">
        <f t="shared" si="36"/>
        <v>0</v>
      </c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</row>
    <row r="25" spans="1:81" ht="12" customHeight="1">
      <c r="A25" s="128" t="s">
        <v>136</v>
      </c>
      <c r="B25" s="141">
        <f t="shared" ref="B25:N25" si="37">B17*B9</f>
        <v>2000</v>
      </c>
      <c r="C25" s="141">
        <f t="shared" si="37"/>
        <v>2000</v>
      </c>
      <c r="D25" s="141">
        <f t="shared" si="37"/>
        <v>2000</v>
      </c>
      <c r="E25" s="141">
        <f t="shared" si="37"/>
        <v>2000</v>
      </c>
      <c r="F25" s="141">
        <f t="shared" si="37"/>
        <v>2000</v>
      </c>
      <c r="G25" s="141">
        <f t="shared" si="37"/>
        <v>2000</v>
      </c>
      <c r="H25" s="141">
        <f t="shared" si="37"/>
        <v>2000</v>
      </c>
      <c r="I25" s="141">
        <f t="shared" si="37"/>
        <v>2000</v>
      </c>
      <c r="J25" s="141">
        <f t="shared" si="37"/>
        <v>2000</v>
      </c>
      <c r="K25" s="141">
        <f t="shared" si="37"/>
        <v>2000</v>
      </c>
      <c r="L25" s="141">
        <f t="shared" si="37"/>
        <v>2000</v>
      </c>
      <c r="M25" s="141">
        <f t="shared" si="37"/>
        <v>2000</v>
      </c>
      <c r="N25" s="141">
        <f t="shared" si="37"/>
        <v>2120</v>
      </c>
      <c r="O25" s="141">
        <f>N17*O9</f>
        <v>2120</v>
      </c>
      <c r="P25" s="141">
        <f t="shared" ref="P25:BI25" si="38">P17*P9</f>
        <v>2120</v>
      </c>
      <c r="Q25" s="141">
        <f t="shared" si="38"/>
        <v>2120</v>
      </c>
      <c r="R25" s="141">
        <f t="shared" si="38"/>
        <v>2120</v>
      </c>
      <c r="S25" s="141">
        <f t="shared" si="38"/>
        <v>2120</v>
      </c>
      <c r="T25" s="141">
        <f t="shared" si="38"/>
        <v>2120</v>
      </c>
      <c r="U25" s="141">
        <f t="shared" si="38"/>
        <v>2120</v>
      </c>
      <c r="V25" s="141">
        <f t="shared" si="38"/>
        <v>2120</v>
      </c>
      <c r="W25" s="141">
        <f t="shared" si="38"/>
        <v>2120</v>
      </c>
      <c r="X25" s="141">
        <f t="shared" si="38"/>
        <v>2120</v>
      </c>
      <c r="Y25" s="141">
        <f t="shared" si="38"/>
        <v>2120</v>
      </c>
      <c r="Z25" s="141">
        <f t="shared" si="38"/>
        <v>2247.2000000000003</v>
      </c>
      <c r="AA25" s="141">
        <f t="shared" si="38"/>
        <v>2247.2000000000003</v>
      </c>
      <c r="AB25" s="141">
        <f t="shared" si="38"/>
        <v>2247.2000000000003</v>
      </c>
      <c r="AC25" s="141">
        <f t="shared" si="38"/>
        <v>2247.2000000000003</v>
      </c>
      <c r="AD25" s="141">
        <f t="shared" si="38"/>
        <v>2247.2000000000003</v>
      </c>
      <c r="AE25" s="141">
        <f t="shared" si="38"/>
        <v>2247.2000000000003</v>
      </c>
      <c r="AF25" s="141">
        <f t="shared" si="38"/>
        <v>2247.2000000000003</v>
      </c>
      <c r="AG25" s="141">
        <f t="shared" si="38"/>
        <v>2247.2000000000003</v>
      </c>
      <c r="AH25" s="141">
        <f t="shared" si="38"/>
        <v>2247.2000000000003</v>
      </c>
      <c r="AI25" s="141">
        <f t="shared" si="38"/>
        <v>2247.2000000000003</v>
      </c>
      <c r="AJ25" s="141">
        <f t="shared" si="38"/>
        <v>2247.2000000000003</v>
      </c>
      <c r="AK25" s="141">
        <f t="shared" si="38"/>
        <v>2247.2000000000003</v>
      </c>
      <c r="AL25" s="141">
        <f t="shared" si="38"/>
        <v>2382.0320000000006</v>
      </c>
      <c r="AM25" s="141">
        <f t="shared" si="38"/>
        <v>2382.0320000000006</v>
      </c>
      <c r="AN25" s="141">
        <f t="shared" si="38"/>
        <v>2382.0320000000006</v>
      </c>
      <c r="AO25" s="141">
        <f t="shared" si="38"/>
        <v>2382.0320000000006</v>
      </c>
      <c r="AP25" s="141">
        <f t="shared" si="38"/>
        <v>2382.0320000000006</v>
      </c>
      <c r="AQ25" s="141">
        <f t="shared" si="38"/>
        <v>2382.0320000000006</v>
      </c>
      <c r="AR25" s="141">
        <f t="shared" si="38"/>
        <v>2382.0320000000006</v>
      </c>
      <c r="AS25" s="141">
        <f t="shared" si="38"/>
        <v>2382.0320000000006</v>
      </c>
      <c r="AT25" s="141">
        <f t="shared" si="38"/>
        <v>2382.0320000000006</v>
      </c>
      <c r="AU25" s="141">
        <f t="shared" si="38"/>
        <v>2382.0320000000006</v>
      </c>
      <c r="AV25" s="141">
        <f t="shared" si="38"/>
        <v>2382.0320000000006</v>
      </c>
      <c r="AW25" s="141">
        <f t="shared" si="38"/>
        <v>2382.0320000000006</v>
      </c>
      <c r="AX25" s="141">
        <f t="shared" si="38"/>
        <v>2524.9539200000008</v>
      </c>
      <c r="AY25" s="141">
        <f t="shared" si="38"/>
        <v>2524.9539200000008</v>
      </c>
      <c r="AZ25" s="141">
        <f t="shared" si="38"/>
        <v>2524.9539200000008</v>
      </c>
      <c r="BA25" s="141">
        <f t="shared" si="38"/>
        <v>2524.9539200000008</v>
      </c>
      <c r="BB25" s="141">
        <f t="shared" si="38"/>
        <v>2524.9539200000008</v>
      </c>
      <c r="BC25" s="141">
        <f t="shared" si="38"/>
        <v>2524.9539200000008</v>
      </c>
      <c r="BD25" s="141">
        <f t="shared" si="38"/>
        <v>2524.9539200000008</v>
      </c>
      <c r="BE25" s="141">
        <f t="shared" si="38"/>
        <v>2524.9539200000008</v>
      </c>
      <c r="BF25" s="141">
        <f t="shared" si="38"/>
        <v>2524.9539200000008</v>
      </c>
      <c r="BG25" s="141">
        <f t="shared" si="38"/>
        <v>2524.9539200000008</v>
      </c>
      <c r="BH25" s="141">
        <f t="shared" si="38"/>
        <v>2524.9539200000008</v>
      </c>
      <c r="BI25" s="141">
        <f t="shared" si="38"/>
        <v>2524.9539200000008</v>
      </c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</row>
    <row r="26" spans="1:81" ht="12" customHeight="1">
      <c r="A26" s="125" t="str">
        <f t="shared" ref="A26:A29" si="39">A10</f>
        <v>OPERACIONAL</v>
      </c>
      <c r="B26" s="141">
        <f t="shared" ref="B26:BI26" si="40">B18*B10</f>
        <v>0</v>
      </c>
      <c r="C26" s="141">
        <f t="shared" si="40"/>
        <v>0</v>
      </c>
      <c r="D26" s="141">
        <f t="shared" si="40"/>
        <v>0</v>
      </c>
      <c r="E26" s="141">
        <f t="shared" si="40"/>
        <v>0</v>
      </c>
      <c r="F26" s="141">
        <f t="shared" si="40"/>
        <v>0</v>
      </c>
      <c r="G26" s="141">
        <f t="shared" si="40"/>
        <v>0</v>
      </c>
      <c r="H26" s="141">
        <f t="shared" si="40"/>
        <v>0</v>
      </c>
      <c r="I26" s="141">
        <f t="shared" si="40"/>
        <v>0</v>
      </c>
      <c r="J26" s="141">
        <f t="shared" si="40"/>
        <v>0</v>
      </c>
      <c r="K26" s="141">
        <f t="shared" si="40"/>
        <v>0</v>
      </c>
      <c r="L26" s="141">
        <f t="shared" si="40"/>
        <v>0</v>
      </c>
      <c r="M26" s="141">
        <f t="shared" si="40"/>
        <v>0</v>
      </c>
      <c r="N26" s="141">
        <f t="shared" si="40"/>
        <v>0</v>
      </c>
      <c r="O26" s="141">
        <f t="shared" si="40"/>
        <v>0</v>
      </c>
      <c r="P26" s="141">
        <f t="shared" si="40"/>
        <v>0</v>
      </c>
      <c r="Q26" s="141">
        <f t="shared" si="40"/>
        <v>0</v>
      </c>
      <c r="R26" s="141">
        <f t="shared" si="40"/>
        <v>0</v>
      </c>
      <c r="S26" s="141">
        <f t="shared" si="40"/>
        <v>0</v>
      </c>
      <c r="T26" s="141">
        <f t="shared" si="40"/>
        <v>0</v>
      </c>
      <c r="U26" s="141">
        <f t="shared" si="40"/>
        <v>0</v>
      </c>
      <c r="V26" s="141">
        <f t="shared" si="40"/>
        <v>0</v>
      </c>
      <c r="W26" s="141">
        <f t="shared" si="40"/>
        <v>0</v>
      </c>
      <c r="X26" s="141">
        <f t="shared" si="40"/>
        <v>0</v>
      </c>
      <c r="Y26" s="141">
        <f t="shared" si="40"/>
        <v>0</v>
      </c>
      <c r="Z26" s="141">
        <f t="shared" si="40"/>
        <v>0</v>
      </c>
      <c r="AA26" s="141">
        <f t="shared" si="40"/>
        <v>0</v>
      </c>
      <c r="AB26" s="141">
        <f t="shared" si="40"/>
        <v>0</v>
      </c>
      <c r="AC26" s="141">
        <f t="shared" si="40"/>
        <v>0</v>
      </c>
      <c r="AD26" s="141">
        <f t="shared" si="40"/>
        <v>0</v>
      </c>
      <c r="AE26" s="141">
        <f t="shared" si="40"/>
        <v>0</v>
      </c>
      <c r="AF26" s="141">
        <f t="shared" si="40"/>
        <v>0</v>
      </c>
      <c r="AG26" s="141">
        <f t="shared" si="40"/>
        <v>0</v>
      </c>
      <c r="AH26" s="141">
        <f t="shared" si="40"/>
        <v>0</v>
      </c>
      <c r="AI26" s="141">
        <f t="shared" si="40"/>
        <v>0</v>
      </c>
      <c r="AJ26" s="141">
        <f t="shared" si="40"/>
        <v>0</v>
      </c>
      <c r="AK26" s="141">
        <f t="shared" si="40"/>
        <v>0</v>
      </c>
      <c r="AL26" s="141">
        <f t="shared" si="40"/>
        <v>0</v>
      </c>
      <c r="AM26" s="141">
        <f t="shared" si="40"/>
        <v>0</v>
      </c>
      <c r="AN26" s="141">
        <f t="shared" si="40"/>
        <v>0</v>
      </c>
      <c r="AO26" s="141">
        <f t="shared" si="40"/>
        <v>0</v>
      </c>
      <c r="AP26" s="141">
        <f t="shared" si="40"/>
        <v>0</v>
      </c>
      <c r="AQ26" s="141">
        <f t="shared" si="40"/>
        <v>0</v>
      </c>
      <c r="AR26" s="141">
        <f t="shared" si="40"/>
        <v>0</v>
      </c>
      <c r="AS26" s="141">
        <f t="shared" si="40"/>
        <v>0</v>
      </c>
      <c r="AT26" s="141">
        <f t="shared" si="40"/>
        <v>0</v>
      </c>
      <c r="AU26" s="141">
        <f t="shared" si="40"/>
        <v>0</v>
      </c>
      <c r="AV26" s="141">
        <f t="shared" si="40"/>
        <v>0</v>
      </c>
      <c r="AW26" s="141">
        <f t="shared" si="40"/>
        <v>0</v>
      </c>
      <c r="AX26" s="141">
        <f t="shared" si="40"/>
        <v>0</v>
      </c>
      <c r="AY26" s="141">
        <f t="shared" si="40"/>
        <v>0</v>
      </c>
      <c r="AZ26" s="141">
        <f t="shared" si="40"/>
        <v>0</v>
      </c>
      <c r="BA26" s="141">
        <f t="shared" si="40"/>
        <v>0</v>
      </c>
      <c r="BB26" s="141">
        <f t="shared" si="40"/>
        <v>0</v>
      </c>
      <c r="BC26" s="141">
        <f t="shared" si="40"/>
        <v>0</v>
      </c>
      <c r="BD26" s="141">
        <f t="shared" si="40"/>
        <v>0</v>
      </c>
      <c r="BE26" s="141">
        <f t="shared" si="40"/>
        <v>0</v>
      </c>
      <c r="BF26" s="141">
        <f t="shared" si="40"/>
        <v>0</v>
      </c>
      <c r="BG26" s="141">
        <f t="shared" si="40"/>
        <v>0</v>
      </c>
      <c r="BH26" s="141">
        <f t="shared" si="40"/>
        <v>0</v>
      </c>
      <c r="BI26" s="141">
        <f t="shared" si="40"/>
        <v>0</v>
      </c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</row>
    <row r="27" spans="1:81" ht="12" customHeight="1">
      <c r="A27" s="138" t="str">
        <f t="shared" si="39"/>
        <v>DESENVOLVEDOR DE JOGOS</v>
      </c>
      <c r="B27" s="141">
        <f t="shared" ref="B27:BI27" si="41">B19*B11</f>
        <v>2000</v>
      </c>
      <c r="C27" s="141">
        <f t="shared" si="41"/>
        <v>2000</v>
      </c>
      <c r="D27" s="141">
        <f t="shared" si="41"/>
        <v>2000</v>
      </c>
      <c r="E27" s="141">
        <f t="shared" si="41"/>
        <v>2000</v>
      </c>
      <c r="F27" s="141">
        <f t="shared" si="41"/>
        <v>2000</v>
      </c>
      <c r="G27" s="141">
        <f t="shared" si="41"/>
        <v>2000</v>
      </c>
      <c r="H27" s="141">
        <f t="shared" si="41"/>
        <v>2000</v>
      </c>
      <c r="I27" s="141">
        <f t="shared" si="41"/>
        <v>2000</v>
      </c>
      <c r="J27" s="141">
        <f t="shared" si="41"/>
        <v>2000</v>
      </c>
      <c r="K27" s="141">
        <f t="shared" si="41"/>
        <v>2000</v>
      </c>
      <c r="L27" s="141">
        <f t="shared" si="41"/>
        <v>2000</v>
      </c>
      <c r="M27" s="141">
        <f t="shared" si="41"/>
        <v>2000</v>
      </c>
      <c r="N27" s="141">
        <f t="shared" si="41"/>
        <v>2120</v>
      </c>
      <c r="O27" s="141">
        <f t="shared" si="41"/>
        <v>2120</v>
      </c>
      <c r="P27" s="141">
        <f t="shared" si="41"/>
        <v>2120</v>
      </c>
      <c r="Q27" s="141">
        <f t="shared" si="41"/>
        <v>2120</v>
      </c>
      <c r="R27" s="141">
        <f t="shared" si="41"/>
        <v>2120</v>
      </c>
      <c r="S27" s="141">
        <f t="shared" si="41"/>
        <v>2120</v>
      </c>
      <c r="T27" s="141">
        <f t="shared" si="41"/>
        <v>2120</v>
      </c>
      <c r="U27" s="141">
        <f t="shared" si="41"/>
        <v>2120</v>
      </c>
      <c r="V27" s="141">
        <f t="shared" si="41"/>
        <v>2120</v>
      </c>
      <c r="W27" s="141">
        <f t="shared" si="41"/>
        <v>2120</v>
      </c>
      <c r="X27" s="141">
        <f t="shared" si="41"/>
        <v>2120</v>
      </c>
      <c r="Y27" s="141">
        <f t="shared" si="41"/>
        <v>2120</v>
      </c>
      <c r="Z27" s="141">
        <f t="shared" si="41"/>
        <v>2247.2000000000003</v>
      </c>
      <c r="AA27" s="141">
        <f t="shared" si="41"/>
        <v>2247.2000000000003</v>
      </c>
      <c r="AB27" s="141">
        <f t="shared" si="41"/>
        <v>2247.2000000000003</v>
      </c>
      <c r="AC27" s="141">
        <f t="shared" si="41"/>
        <v>2247.2000000000003</v>
      </c>
      <c r="AD27" s="141">
        <f t="shared" si="41"/>
        <v>2247.2000000000003</v>
      </c>
      <c r="AE27" s="141">
        <f t="shared" si="41"/>
        <v>2247.2000000000003</v>
      </c>
      <c r="AF27" s="141">
        <f t="shared" si="41"/>
        <v>2247.2000000000003</v>
      </c>
      <c r="AG27" s="141">
        <f t="shared" si="41"/>
        <v>2247.2000000000003</v>
      </c>
      <c r="AH27" s="141">
        <f t="shared" si="41"/>
        <v>2247.2000000000003</v>
      </c>
      <c r="AI27" s="141">
        <f t="shared" si="41"/>
        <v>2247.2000000000003</v>
      </c>
      <c r="AJ27" s="141">
        <f t="shared" si="41"/>
        <v>2247.2000000000003</v>
      </c>
      <c r="AK27" s="141">
        <f t="shared" si="41"/>
        <v>2247.2000000000003</v>
      </c>
      <c r="AL27" s="141">
        <f t="shared" si="41"/>
        <v>2382.0320000000006</v>
      </c>
      <c r="AM27" s="141">
        <f t="shared" si="41"/>
        <v>2382.0320000000006</v>
      </c>
      <c r="AN27" s="141">
        <f t="shared" si="41"/>
        <v>2382.0320000000006</v>
      </c>
      <c r="AO27" s="141">
        <f t="shared" si="41"/>
        <v>2382.0320000000006</v>
      </c>
      <c r="AP27" s="141">
        <f t="shared" si="41"/>
        <v>2382.0320000000006</v>
      </c>
      <c r="AQ27" s="141">
        <f t="shared" si="41"/>
        <v>2382.0320000000006</v>
      </c>
      <c r="AR27" s="141">
        <f t="shared" si="41"/>
        <v>2382.0320000000006</v>
      </c>
      <c r="AS27" s="141">
        <f t="shared" si="41"/>
        <v>2382.0320000000006</v>
      </c>
      <c r="AT27" s="141">
        <f t="shared" si="41"/>
        <v>2382.0320000000006</v>
      </c>
      <c r="AU27" s="141">
        <f t="shared" si="41"/>
        <v>2382.0320000000006</v>
      </c>
      <c r="AV27" s="141">
        <f t="shared" si="41"/>
        <v>2382.0320000000006</v>
      </c>
      <c r="AW27" s="141">
        <f t="shared" si="41"/>
        <v>2382.0320000000006</v>
      </c>
      <c r="AX27" s="141">
        <f t="shared" si="41"/>
        <v>2524.9539200000008</v>
      </c>
      <c r="AY27" s="141">
        <f t="shared" si="41"/>
        <v>2524.9539200000008</v>
      </c>
      <c r="AZ27" s="141">
        <f t="shared" si="41"/>
        <v>2524.9539200000008</v>
      </c>
      <c r="BA27" s="141">
        <f t="shared" si="41"/>
        <v>2524.9539200000008</v>
      </c>
      <c r="BB27" s="141">
        <f t="shared" si="41"/>
        <v>2524.9539200000008</v>
      </c>
      <c r="BC27" s="141">
        <f t="shared" si="41"/>
        <v>2524.9539200000008</v>
      </c>
      <c r="BD27" s="141">
        <f t="shared" si="41"/>
        <v>2524.9539200000008</v>
      </c>
      <c r="BE27" s="141">
        <f t="shared" si="41"/>
        <v>2524.9539200000008</v>
      </c>
      <c r="BF27" s="141">
        <f t="shared" si="41"/>
        <v>2524.9539200000008</v>
      </c>
      <c r="BG27" s="141">
        <f t="shared" si="41"/>
        <v>2524.9539200000008</v>
      </c>
      <c r="BH27" s="141">
        <f t="shared" si="41"/>
        <v>2524.9539200000008</v>
      </c>
      <c r="BI27" s="141">
        <f t="shared" si="41"/>
        <v>2524.9539200000008</v>
      </c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</row>
    <row r="28" spans="1:81" ht="12" customHeight="1">
      <c r="A28" s="138" t="str">
        <f t="shared" si="39"/>
        <v>ARTISTA GRÁFICO</v>
      </c>
      <c r="B28" s="141">
        <f t="shared" ref="B28:BI28" si="42">B20*B12</f>
        <v>2000</v>
      </c>
      <c r="C28" s="141">
        <f t="shared" si="42"/>
        <v>2000</v>
      </c>
      <c r="D28" s="141">
        <f t="shared" si="42"/>
        <v>2000</v>
      </c>
      <c r="E28" s="141">
        <f t="shared" si="42"/>
        <v>2000</v>
      </c>
      <c r="F28" s="141">
        <f t="shared" si="42"/>
        <v>2000</v>
      </c>
      <c r="G28" s="141">
        <f t="shared" si="42"/>
        <v>2000</v>
      </c>
      <c r="H28" s="141">
        <f t="shared" si="42"/>
        <v>2000</v>
      </c>
      <c r="I28" s="141">
        <f t="shared" si="42"/>
        <v>2000</v>
      </c>
      <c r="J28" s="141">
        <f t="shared" si="42"/>
        <v>2000</v>
      </c>
      <c r="K28" s="141">
        <f t="shared" si="42"/>
        <v>2000</v>
      </c>
      <c r="L28" s="141">
        <f t="shared" si="42"/>
        <v>2000</v>
      </c>
      <c r="M28" s="141">
        <f t="shared" si="42"/>
        <v>2000</v>
      </c>
      <c r="N28" s="141">
        <f t="shared" si="42"/>
        <v>2120</v>
      </c>
      <c r="O28" s="141">
        <f t="shared" si="42"/>
        <v>2120</v>
      </c>
      <c r="P28" s="141">
        <f t="shared" si="42"/>
        <v>2120</v>
      </c>
      <c r="Q28" s="141">
        <f t="shared" si="42"/>
        <v>2120</v>
      </c>
      <c r="R28" s="141">
        <f t="shared" si="42"/>
        <v>2120</v>
      </c>
      <c r="S28" s="141">
        <f t="shared" si="42"/>
        <v>2120</v>
      </c>
      <c r="T28" s="141">
        <f t="shared" si="42"/>
        <v>2120</v>
      </c>
      <c r="U28" s="141">
        <f t="shared" si="42"/>
        <v>2120</v>
      </c>
      <c r="V28" s="141">
        <f t="shared" si="42"/>
        <v>2120</v>
      </c>
      <c r="W28" s="141">
        <f t="shared" si="42"/>
        <v>2120</v>
      </c>
      <c r="X28" s="141">
        <f t="shared" si="42"/>
        <v>2120</v>
      </c>
      <c r="Y28" s="141">
        <f t="shared" si="42"/>
        <v>2120</v>
      </c>
      <c r="Z28" s="141">
        <f t="shared" si="42"/>
        <v>2247.2000000000003</v>
      </c>
      <c r="AA28" s="141">
        <f t="shared" si="42"/>
        <v>2247.2000000000003</v>
      </c>
      <c r="AB28" s="141">
        <f t="shared" si="42"/>
        <v>2247.2000000000003</v>
      </c>
      <c r="AC28" s="141">
        <f t="shared" si="42"/>
        <v>2247.2000000000003</v>
      </c>
      <c r="AD28" s="141">
        <f t="shared" si="42"/>
        <v>2247.2000000000003</v>
      </c>
      <c r="AE28" s="141">
        <f t="shared" si="42"/>
        <v>2247.2000000000003</v>
      </c>
      <c r="AF28" s="141">
        <f t="shared" si="42"/>
        <v>2247.2000000000003</v>
      </c>
      <c r="AG28" s="141">
        <f t="shared" si="42"/>
        <v>2247.2000000000003</v>
      </c>
      <c r="AH28" s="141">
        <f t="shared" si="42"/>
        <v>2247.2000000000003</v>
      </c>
      <c r="AI28" s="141">
        <f t="shared" si="42"/>
        <v>2247.2000000000003</v>
      </c>
      <c r="AJ28" s="141">
        <f t="shared" si="42"/>
        <v>2247.2000000000003</v>
      </c>
      <c r="AK28" s="141">
        <f t="shared" si="42"/>
        <v>4494.4000000000005</v>
      </c>
      <c r="AL28" s="141">
        <f t="shared" si="42"/>
        <v>4764.0640000000012</v>
      </c>
      <c r="AM28" s="141">
        <f t="shared" si="42"/>
        <v>4764.0640000000012</v>
      </c>
      <c r="AN28" s="141">
        <f t="shared" si="42"/>
        <v>4764.0640000000012</v>
      </c>
      <c r="AO28" s="141">
        <f t="shared" si="42"/>
        <v>4764.0640000000012</v>
      </c>
      <c r="AP28" s="141">
        <f t="shared" si="42"/>
        <v>4764.0640000000012</v>
      </c>
      <c r="AQ28" s="141">
        <f t="shared" si="42"/>
        <v>4764.0640000000012</v>
      </c>
      <c r="AR28" s="141">
        <f t="shared" si="42"/>
        <v>4764.0640000000012</v>
      </c>
      <c r="AS28" s="141">
        <f t="shared" si="42"/>
        <v>4764.0640000000012</v>
      </c>
      <c r="AT28" s="141">
        <f t="shared" si="42"/>
        <v>4764.0640000000012</v>
      </c>
      <c r="AU28" s="141">
        <f t="shared" si="42"/>
        <v>4764.0640000000012</v>
      </c>
      <c r="AV28" s="141">
        <f t="shared" si="42"/>
        <v>4764.0640000000012</v>
      </c>
      <c r="AW28" s="141">
        <f t="shared" si="42"/>
        <v>4764.0640000000012</v>
      </c>
      <c r="AX28" s="141">
        <f t="shared" si="42"/>
        <v>5049.9078400000017</v>
      </c>
      <c r="AY28" s="141">
        <f t="shared" si="42"/>
        <v>5049.9078400000017</v>
      </c>
      <c r="AZ28" s="141">
        <f t="shared" si="42"/>
        <v>5049.9078400000017</v>
      </c>
      <c r="BA28" s="141">
        <f t="shared" si="42"/>
        <v>5049.9078400000017</v>
      </c>
      <c r="BB28" s="141">
        <f t="shared" si="42"/>
        <v>5049.9078400000017</v>
      </c>
      <c r="BC28" s="141">
        <f t="shared" si="42"/>
        <v>5049.9078400000017</v>
      </c>
      <c r="BD28" s="141">
        <f t="shared" si="42"/>
        <v>5049.9078400000017</v>
      </c>
      <c r="BE28" s="141">
        <f t="shared" si="42"/>
        <v>5049.9078400000017</v>
      </c>
      <c r="BF28" s="141">
        <f t="shared" si="42"/>
        <v>5049.9078400000017</v>
      </c>
      <c r="BG28" s="141">
        <f t="shared" si="42"/>
        <v>5049.9078400000017</v>
      </c>
      <c r="BH28" s="141">
        <f t="shared" si="42"/>
        <v>5049.9078400000017</v>
      </c>
      <c r="BI28" s="141">
        <f t="shared" si="42"/>
        <v>5049.9078400000017</v>
      </c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</row>
    <row r="29" spans="1:81" ht="12" customHeight="1">
      <c r="A29" s="143" t="str">
        <f t="shared" si="39"/>
        <v>PROGRAMADOR</v>
      </c>
      <c r="B29" s="141">
        <f t="shared" ref="B29:BI29" si="43">B21*B13</f>
        <v>0</v>
      </c>
      <c r="C29" s="141">
        <f t="shared" si="43"/>
        <v>0</v>
      </c>
      <c r="D29" s="141">
        <f t="shared" si="43"/>
        <v>0</v>
      </c>
      <c r="E29" s="141">
        <f t="shared" si="43"/>
        <v>0</v>
      </c>
      <c r="F29" s="141">
        <f t="shared" si="43"/>
        <v>0</v>
      </c>
      <c r="G29" s="141">
        <f t="shared" si="43"/>
        <v>0</v>
      </c>
      <c r="H29" s="141">
        <f t="shared" si="43"/>
        <v>0</v>
      </c>
      <c r="I29" s="141">
        <f t="shared" si="43"/>
        <v>0</v>
      </c>
      <c r="J29" s="141">
        <f t="shared" si="43"/>
        <v>0</v>
      </c>
      <c r="K29" s="141">
        <f t="shared" si="43"/>
        <v>0</v>
      </c>
      <c r="L29" s="141">
        <f t="shared" si="43"/>
        <v>0</v>
      </c>
      <c r="M29" s="141">
        <f t="shared" si="43"/>
        <v>0</v>
      </c>
      <c r="N29" s="141">
        <f t="shared" si="43"/>
        <v>0</v>
      </c>
      <c r="O29" s="141">
        <f t="shared" si="43"/>
        <v>0</v>
      </c>
      <c r="P29" s="141">
        <f t="shared" si="43"/>
        <v>0</v>
      </c>
      <c r="Q29" s="141">
        <f t="shared" si="43"/>
        <v>0</v>
      </c>
      <c r="R29" s="141">
        <f t="shared" si="43"/>
        <v>0</v>
      </c>
      <c r="S29" s="141">
        <f t="shared" si="43"/>
        <v>0</v>
      </c>
      <c r="T29" s="141">
        <f t="shared" si="43"/>
        <v>0</v>
      </c>
      <c r="U29" s="141">
        <f t="shared" si="43"/>
        <v>0</v>
      </c>
      <c r="V29" s="141">
        <f t="shared" si="43"/>
        <v>0</v>
      </c>
      <c r="W29" s="141">
        <f t="shared" si="43"/>
        <v>0</v>
      </c>
      <c r="X29" s="141">
        <f t="shared" si="43"/>
        <v>0</v>
      </c>
      <c r="Y29" s="141">
        <f t="shared" si="43"/>
        <v>0</v>
      </c>
      <c r="Z29" s="141">
        <f t="shared" si="43"/>
        <v>0</v>
      </c>
      <c r="AA29" s="141">
        <f t="shared" si="43"/>
        <v>0</v>
      </c>
      <c r="AB29" s="141">
        <f t="shared" si="43"/>
        <v>0</v>
      </c>
      <c r="AC29" s="141">
        <f t="shared" si="43"/>
        <v>0</v>
      </c>
      <c r="AD29" s="141">
        <f t="shared" si="43"/>
        <v>0</v>
      </c>
      <c r="AE29" s="141">
        <f t="shared" si="43"/>
        <v>0</v>
      </c>
      <c r="AF29" s="141">
        <f t="shared" si="43"/>
        <v>0</v>
      </c>
      <c r="AG29" s="141">
        <f t="shared" si="43"/>
        <v>0</v>
      </c>
      <c r="AH29" s="141">
        <f t="shared" si="43"/>
        <v>0</v>
      </c>
      <c r="AI29" s="141">
        <f t="shared" si="43"/>
        <v>0</v>
      </c>
      <c r="AJ29" s="141">
        <f t="shared" si="43"/>
        <v>0</v>
      </c>
      <c r="AK29" s="141">
        <f t="shared" si="43"/>
        <v>0</v>
      </c>
      <c r="AL29" s="141">
        <f t="shared" si="43"/>
        <v>0</v>
      </c>
      <c r="AM29" s="141">
        <f t="shared" si="43"/>
        <v>0</v>
      </c>
      <c r="AN29" s="141">
        <f t="shared" si="43"/>
        <v>0</v>
      </c>
      <c r="AO29" s="141">
        <f t="shared" si="43"/>
        <v>0</v>
      </c>
      <c r="AP29" s="141">
        <f t="shared" si="43"/>
        <v>0</v>
      </c>
      <c r="AQ29" s="141">
        <f t="shared" si="43"/>
        <v>0</v>
      </c>
      <c r="AR29" s="141">
        <f t="shared" si="43"/>
        <v>0</v>
      </c>
      <c r="AS29" s="141">
        <f t="shared" si="43"/>
        <v>0</v>
      </c>
      <c r="AT29" s="141">
        <f t="shared" si="43"/>
        <v>0</v>
      </c>
      <c r="AU29" s="141">
        <f t="shared" si="43"/>
        <v>0</v>
      </c>
      <c r="AV29" s="141">
        <f t="shared" si="43"/>
        <v>0</v>
      </c>
      <c r="AW29" s="141">
        <f t="shared" si="43"/>
        <v>2382.0320000000006</v>
      </c>
      <c r="AX29" s="141">
        <f t="shared" si="43"/>
        <v>2524.9539200000008</v>
      </c>
      <c r="AY29" s="141">
        <f t="shared" si="43"/>
        <v>2524.9539200000008</v>
      </c>
      <c r="AZ29" s="141">
        <f t="shared" si="43"/>
        <v>2524.9539200000008</v>
      </c>
      <c r="BA29" s="141">
        <f t="shared" si="43"/>
        <v>2524.9539200000008</v>
      </c>
      <c r="BB29" s="141">
        <f t="shared" si="43"/>
        <v>2524.9539200000008</v>
      </c>
      <c r="BC29" s="141">
        <f t="shared" si="43"/>
        <v>2524.9539200000008</v>
      </c>
      <c r="BD29" s="141">
        <f t="shared" si="43"/>
        <v>2524.9539200000008</v>
      </c>
      <c r="BE29" s="141">
        <f t="shared" si="43"/>
        <v>2524.9539200000008</v>
      </c>
      <c r="BF29" s="141">
        <f t="shared" si="43"/>
        <v>2524.9539200000008</v>
      </c>
      <c r="BG29" s="141">
        <f t="shared" si="43"/>
        <v>2524.9539200000008</v>
      </c>
      <c r="BH29" s="141">
        <f t="shared" si="43"/>
        <v>2524.9539200000008</v>
      </c>
      <c r="BI29" s="141">
        <f t="shared" si="43"/>
        <v>2524.9539200000008</v>
      </c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</row>
    <row r="30" spans="1:81" ht="12" customHeight="1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</row>
    <row r="31" spans="1:81" ht="12" customHeight="1">
      <c r="A31" s="145" t="s">
        <v>144</v>
      </c>
      <c r="B31" s="146">
        <f t="shared" ref="B31:BI31" si="44">SUM(B24:B30)</f>
        <v>6000</v>
      </c>
      <c r="C31" s="146">
        <f t="shared" si="44"/>
        <v>6000</v>
      </c>
      <c r="D31" s="146">
        <f t="shared" si="44"/>
        <v>6000</v>
      </c>
      <c r="E31" s="146">
        <f t="shared" si="44"/>
        <v>6000</v>
      </c>
      <c r="F31" s="146">
        <f t="shared" si="44"/>
        <v>6000</v>
      </c>
      <c r="G31" s="146">
        <f t="shared" si="44"/>
        <v>6000</v>
      </c>
      <c r="H31" s="146">
        <f t="shared" si="44"/>
        <v>6000</v>
      </c>
      <c r="I31" s="146">
        <f t="shared" si="44"/>
        <v>6000</v>
      </c>
      <c r="J31" s="146">
        <f t="shared" si="44"/>
        <v>6000</v>
      </c>
      <c r="K31" s="146">
        <f t="shared" si="44"/>
        <v>6000</v>
      </c>
      <c r="L31" s="146">
        <f t="shared" si="44"/>
        <v>6000</v>
      </c>
      <c r="M31" s="146">
        <f t="shared" si="44"/>
        <v>6000</v>
      </c>
      <c r="N31" s="146">
        <f t="shared" si="44"/>
        <v>6360</v>
      </c>
      <c r="O31" s="146">
        <f t="shared" si="44"/>
        <v>6360</v>
      </c>
      <c r="P31" s="146">
        <f t="shared" si="44"/>
        <v>6360</v>
      </c>
      <c r="Q31" s="146">
        <f t="shared" si="44"/>
        <v>6360</v>
      </c>
      <c r="R31" s="146">
        <f t="shared" si="44"/>
        <v>6360</v>
      </c>
      <c r="S31" s="146">
        <f t="shared" si="44"/>
        <v>6360</v>
      </c>
      <c r="T31" s="146">
        <f t="shared" si="44"/>
        <v>6360</v>
      </c>
      <c r="U31" s="146">
        <f t="shared" si="44"/>
        <v>6360</v>
      </c>
      <c r="V31" s="146">
        <f t="shared" si="44"/>
        <v>6360</v>
      </c>
      <c r="W31" s="146">
        <f t="shared" si="44"/>
        <v>6360</v>
      </c>
      <c r="X31" s="146">
        <f t="shared" si="44"/>
        <v>6360</v>
      </c>
      <c r="Y31" s="146">
        <f t="shared" si="44"/>
        <v>6360</v>
      </c>
      <c r="Z31" s="146">
        <f t="shared" si="44"/>
        <v>6741.6</v>
      </c>
      <c r="AA31" s="146">
        <f t="shared" si="44"/>
        <v>6741.6</v>
      </c>
      <c r="AB31" s="146">
        <f t="shared" si="44"/>
        <v>6741.6</v>
      </c>
      <c r="AC31" s="146">
        <f t="shared" si="44"/>
        <v>6741.6</v>
      </c>
      <c r="AD31" s="146">
        <f t="shared" si="44"/>
        <v>6741.6</v>
      </c>
      <c r="AE31" s="146">
        <f t="shared" si="44"/>
        <v>6741.6</v>
      </c>
      <c r="AF31" s="146">
        <f t="shared" si="44"/>
        <v>6741.6</v>
      </c>
      <c r="AG31" s="146">
        <f t="shared" si="44"/>
        <v>6741.6</v>
      </c>
      <c r="AH31" s="146">
        <f t="shared" si="44"/>
        <v>6741.6</v>
      </c>
      <c r="AI31" s="146">
        <f t="shared" si="44"/>
        <v>6741.6</v>
      </c>
      <c r="AJ31" s="146">
        <f t="shared" si="44"/>
        <v>6741.6</v>
      </c>
      <c r="AK31" s="146">
        <f t="shared" si="44"/>
        <v>8988.8000000000011</v>
      </c>
      <c r="AL31" s="146">
        <f t="shared" si="44"/>
        <v>9528.1280000000024</v>
      </c>
      <c r="AM31" s="146">
        <f t="shared" si="44"/>
        <v>9528.1280000000024</v>
      </c>
      <c r="AN31" s="146">
        <f t="shared" si="44"/>
        <v>9528.1280000000024</v>
      </c>
      <c r="AO31" s="146">
        <f t="shared" si="44"/>
        <v>9528.1280000000024</v>
      </c>
      <c r="AP31" s="146">
        <f t="shared" si="44"/>
        <v>9528.1280000000024</v>
      </c>
      <c r="AQ31" s="146">
        <f t="shared" si="44"/>
        <v>9528.1280000000024</v>
      </c>
      <c r="AR31" s="146">
        <f t="shared" si="44"/>
        <v>9528.1280000000024</v>
      </c>
      <c r="AS31" s="146">
        <f t="shared" si="44"/>
        <v>9528.1280000000024</v>
      </c>
      <c r="AT31" s="146">
        <f t="shared" si="44"/>
        <v>9528.1280000000024</v>
      </c>
      <c r="AU31" s="146">
        <f t="shared" si="44"/>
        <v>9528.1280000000024</v>
      </c>
      <c r="AV31" s="146">
        <f t="shared" si="44"/>
        <v>9528.1280000000024</v>
      </c>
      <c r="AW31" s="146">
        <f t="shared" si="44"/>
        <v>11910.160000000003</v>
      </c>
      <c r="AX31" s="146">
        <f t="shared" si="44"/>
        <v>12624.769600000003</v>
      </c>
      <c r="AY31" s="146">
        <f t="shared" si="44"/>
        <v>12624.769600000003</v>
      </c>
      <c r="AZ31" s="146">
        <f t="shared" si="44"/>
        <v>12624.769600000003</v>
      </c>
      <c r="BA31" s="146">
        <f t="shared" si="44"/>
        <v>12624.769600000003</v>
      </c>
      <c r="BB31" s="146">
        <f t="shared" si="44"/>
        <v>12624.769600000003</v>
      </c>
      <c r="BC31" s="146">
        <f t="shared" si="44"/>
        <v>12624.769600000003</v>
      </c>
      <c r="BD31" s="146">
        <f t="shared" si="44"/>
        <v>12624.769600000003</v>
      </c>
      <c r="BE31" s="146">
        <f t="shared" si="44"/>
        <v>12624.769600000003</v>
      </c>
      <c r="BF31" s="146">
        <f t="shared" si="44"/>
        <v>12624.769600000003</v>
      </c>
      <c r="BG31" s="146">
        <f t="shared" si="44"/>
        <v>12624.769600000003</v>
      </c>
      <c r="BH31" s="146">
        <f t="shared" si="44"/>
        <v>12624.769600000003</v>
      </c>
      <c r="BI31" s="146">
        <f t="shared" si="44"/>
        <v>12624.769600000003</v>
      </c>
      <c r="BJ31" s="147"/>
      <c r="BK31" s="147"/>
      <c r="BL31" s="147"/>
      <c r="BM31" s="147"/>
      <c r="BN31" s="147"/>
      <c r="BO31" s="147"/>
      <c r="BP31" s="147"/>
      <c r="BQ31" s="147"/>
      <c r="BR31" s="147"/>
      <c r="BS31" s="147"/>
      <c r="BT31" s="147"/>
      <c r="BU31" s="147"/>
      <c r="BV31" s="147"/>
      <c r="BW31" s="147"/>
      <c r="BX31" s="147"/>
      <c r="BY31" s="147"/>
      <c r="BZ31" s="147"/>
      <c r="CA31" s="147"/>
      <c r="CB31" s="147"/>
      <c r="CC31" s="147"/>
    </row>
    <row r="32" spans="1:81" ht="12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</row>
    <row r="33" spans="1:81" ht="12" customHeight="1">
      <c r="A33" s="148" t="s">
        <v>143</v>
      </c>
      <c r="B33" s="149" t="s">
        <v>22</v>
      </c>
      <c r="C33" s="149" t="s">
        <v>23</v>
      </c>
      <c r="D33" s="149" t="s">
        <v>24</v>
      </c>
      <c r="E33" s="149" t="s">
        <v>25</v>
      </c>
      <c r="F33" s="150" t="s">
        <v>26</v>
      </c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47"/>
      <c r="BK33" s="147"/>
      <c r="BL33" s="147"/>
      <c r="BM33" s="147"/>
      <c r="BN33" s="147"/>
      <c r="BO33" s="147"/>
      <c r="BP33" s="147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</row>
    <row r="34" spans="1:81" ht="12" customHeight="1">
      <c r="A34" s="151" t="s">
        <v>136</v>
      </c>
      <c r="B34" s="152">
        <f>SUM(B25:M25)</f>
        <v>24000</v>
      </c>
      <c r="C34" s="152">
        <f>SUM(N25:Y25)</f>
        <v>25440</v>
      </c>
      <c r="D34" s="152">
        <f>SUM(Z25:AK25)</f>
        <v>26966.400000000005</v>
      </c>
      <c r="E34" s="152">
        <f>SUM(AL25:AW25)</f>
        <v>28584.384000000002</v>
      </c>
      <c r="F34" s="152">
        <f>SUM(AX25:BI25)</f>
        <v>30299.447040000003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</row>
    <row r="35" spans="1:81" ht="12" customHeight="1">
      <c r="A35" s="151" t="s">
        <v>145</v>
      </c>
      <c r="B35" s="152">
        <f t="shared" ref="B35:B37" si="45">SUM(B27:M27)</f>
        <v>24000</v>
      </c>
      <c r="C35" s="152">
        <f t="shared" ref="C35:C37" si="46">SUM(N27:Y27)</f>
        <v>25440</v>
      </c>
      <c r="D35" s="152">
        <f t="shared" ref="D35:D37" si="47">SUM(Z27:AK27)</f>
        <v>26966.400000000005</v>
      </c>
      <c r="E35" s="152">
        <f t="shared" ref="E35:E37" si="48">SUM(AL27:AW27)</f>
        <v>28584.384000000002</v>
      </c>
      <c r="F35" s="152">
        <f t="shared" ref="F35:F37" si="49">SUM(AX27:BI27)</f>
        <v>30299.447040000003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  <c r="BY35" s="110"/>
      <c r="BZ35" s="110"/>
      <c r="CA35" s="110"/>
      <c r="CB35" s="110"/>
      <c r="CC35" s="110"/>
    </row>
    <row r="36" spans="1:81" ht="12" customHeight="1">
      <c r="A36" s="151" t="s">
        <v>146</v>
      </c>
      <c r="B36" s="152">
        <f t="shared" si="45"/>
        <v>24000</v>
      </c>
      <c r="C36" s="152">
        <f t="shared" si="46"/>
        <v>25440</v>
      </c>
      <c r="D36" s="152">
        <f t="shared" si="47"/>
        <v>29213.600000000006</v>
      </c>
      <c r="E36" s="152">
        <f t="shared" si="48"/>
        <v>57168.768000000004</v>
      </c>
      <c r="F36" s="152">
        <f t="shared" si="49"/>
        <v>60598.894080000005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  <c r="BY36" s="110"/>
      <c r="BZ36" s="110"/>
      <c r="CA36" s="110"/>
      <c r="CB36" s="110"/>
      <c r="CC36" s="110"/>
    </row>
    <row r="37" spans="1:81" ht="12" customHeight="1">
      <c r="A37" s="151" t="s">
        <v>147</v>
      </c>
      <c r="B37" s="152">
        <f t="shared" si="45"/>
        <v>0</v>
      </c>
      <c r="C37" s="152">
        <f t="shared" si="46"/>
        <v>0</v>
      </c>
      <c r="D37" s="152">
        <f t="shared" si="47"/>
        <v>0</v>
      </c>
      <c r="E37" s="152">
        <f t="shared" si="48"/>
        <v>2382.0320000000006</v>
      </c>
      <c r="F37" s="152">
        <f t="shared" si="49"/>
        <v>30299.447040000003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</row>
    <row r="38" spans="1:81" ht="12" customHeight="1">
      <c r="A38" s="153" t="s">
        <v>144</v>
      </c>
      <c r="B38" s="154">
        <f t="shared" ref="B38:F38" si="50">SUM(B34:B37)</f>
        <v>72000</v>
      </c>
      <c r="C38" s="154">
        <f t="shared" si="50"/>
        <v>76320</v>
      </c>
      <c r="D38" s="154">
        <f t="shared" si="50"/>
        <v>83146.400000000023</v>
      </c>
      <c r="E38" s="154">
        <f t="shared" si="50"/>
        <v>116719.56800000001</v>
      </c>
      <c r="F38" s="154">
        <f t="shared" si="50"/>
        <v>151497.23520000002</v>
      </c>
      <c r="G38" s="155">
        <v>4367.4885440415992</v>
      </c>
      <c r="H38" s="155"/>
      <c r="I38" s="155"/>
      <c r="J38" s="155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  <c r="BY38" s="110"/>
      <c r="BZ38" s="110"/>
      <c r="CA38" s="110"/>
      <c r="CB38" s="110"/>
      <c r="CC38" s="110"/>
    </row>
    <row r="39" spans="1:81" ht="12" customHeight="1">
      <c r="A39" s="110"/>
      <c r="B39" s="110"/>
      <c r="C39" s="110"/>
      <c r="D39" s="110"/>
      <c r="E39" s="110"/>
      <c r="F39" s="110"/>
      <c r="G39" s="155">
        <v>5149.4541482959994</v>
      </c>
      <c r="H39" s="155"/>
      <c r="I39" s="155"/>
      <c r="J39" s="155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  <c r="BY39" s="110"/>
      <c r="BZ39" s="110"/>
      <c r="CA39" s="110"/>
      <c r="CB39" s="110"/>
      <c r="CC39" s="110"/>
    </row>
    <row r="40" spans="1:81" ht="12" customHeight="1">
      <c r="A40" s="148" t="s">
        <v>148</v>
      </c>
      <c r="B40" s="149" t="s">
        <v>22</v>
      </c>
      <c r="C40" s="149" t="s">
        <v>23</v>
      </c>
      <c r="D40" s="149" t="s">
        <v>24</v>
      </c>
      <c r="E40" s="149" t="s">
        <v>25</v>
      </c>
      <c r="F40" s="150" t="s">
        <v>26</v>
      </c>
      <c r="G40" s="155">
        <v>2802.7619750479994</v>
      </c>
      <c r="H40" s="155"/>
      <c r="I40" s="155"/>
      <c r="J40" s="155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  <c r="BY40" s="110"/>
      <c r="BZ40" s="110"/>
      <c r="CA40" s="110"/>
      <c r="CB40" s="110"/>
      <c r="CC40" s="110"/>
    </row>
    <row r="41" spans="1:81" ht="12" customHeight="1">
      <c r="A41" s="151" t="s">
        <v>136</v>
      </c>
      <c r="B41" s="156">
        <f>B9</f>
        <v>1</v>
      </c>
      <c r="C41" s="156">
        <f>N9</f>
        <v>1</v>
      </c>
      <c r="D41" s="156">
        <f>Z9</f>
        <v>1</v>
      </c>
      <c r="E41" s="156">
        <f>AL9</f>
        <v>1</v>
      </c>
      <c r="F41" s="156">
        <f>AX9</f>
        <v>1</v>
      </c>
      <c r="G41" s="155"/>
      <c r="H41" s="155"/>
      <c r="I41" s="155"/>
      <c r="J41" s="155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0"/>
    </row>
    <row r="42" spans="1:81" ht="12" customHeight="1">
      <c r="A42" s="151" t="s">
        <v>145</v>
      </c>
      <c r="B42" s="156">
        <f t="shared" ref="B42:B44" si="51">B11</f>
        <v>1</v>
      </c>
      <c r="C42" s="156">
        <f t="shared" ref="C42:C44" si="52">N11</f>
        <v>1</v>
      </c>
      <c r="D42" s="156">
        <f t="shared" ref="D42:D44" si="53">Z11</f>
        <v>1</v>
      </c>
      <c r="E42" s="156">
        <f t="shared" ref="E42:E44" si="54">AL11</f>
        <v>1</v>
      </c>
      <c r="F42" s="156">
        <f t="shared" ref="F42:F44" si="55">AX11</f>
        <v>1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  <c r="BG42" s="110"/>
      <c r="BH42" s="110"/>
      <c r="BI42" s="110"/>
      <c r="BJ42" s="110"/>
      <c r="BK42" s="110"/>
      <c r="BL42" s="110"/>
      <c r="BM42" s="110"/>
      <c r="BN42" s="110"/>
      <c r="BO42" s="110"/>
      <c r="BP42" s="110"/>
      <c r="BQ42" s="110"/>
      <c r="BR42" s="110"/>
      <c r="BS42" s="110"/>
      <c r="BT42" s="110"/>
      <c r="BU42" s="110"/>
      <c r="BV42" s="110"/>
      <c r="BW42" s="110"/>
      <c r="BX42" s="110"/>
      <c r="BY42" s="110"/>
      <c r="BZ42" s="110"/>
      <c r="CA42" s="110"/>
      <c r="CB42" s="110"/>
      <c r="CC42" s="110"/>
    </row>
    <row r="43" spans="1:81" ht="12" customHeight="1">
      <c r="A43" s="151" t="s">
        <v>146</v>
      </c>
      <c r="B43" s="156">
        <f t="shared" si="51"/>
        <v>1</v>
      </c>
      <c r="C43" s="156">
        <f t="shared" si="52"/>
        <v>1</v>
      </c>
      <c r="D43" s="156">
        <f t="shared" si="53"/>
        <v>1</v>
      </c>
      <c r="E43" s="156">
        <f t="shared" si="54"/>
        <v>2</v>
      </c>
      <c r="F43" s="156">
        <f t="shared" si="55"/>
        <v>2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  <c r="BH43" s="110"/>
      <c r="BI43" s="110"/>
      <c r="BJ43" s="110"/>
      <c r="BK43" s="110"/>
      <c r="BL43" s="110"/>
      <c r="BM43" s="110"/>
      <c r="BN43" s="110"/>
      <c r="BO43" s="110"/>
      <c r="BP43" s="110"/>
      <c r="BQ43" s="110"/>
      <c r="BR43" s="110"/>
      <c r="BS43" s="110"/>
      <c r="BT43" s="110"/>
      <c r="BU43" s="110"/>
      <c r="BV43" s="110"/>
      <c r="BW43" s="110"/>
      <c r="BX43" s="110"/>
      <c r="BY43" s="110"/>
      <c r="BZ43" s="110"/>
      <c r="CA43" s="110"/>
      <c r="CB43" s="110"/>
      <c r="CC43" s="110"/>
    </row>
    <row r="44" spans="1:81" ht="12" customHeight="1">
      <c r="A44" s="151" t="s">
        <v>147</v>
      </c>
      <c r="B44" s="156">
        <f t="shared" si="51"/>
        <v>0</v>
      </c>
      <c r="C44" s="156">
        <f t="shared" si="52"/>
        <v>0</v>
      </c>
      <c r="D44" s="156">
        <f t="shared" si="53"/>
        <v>0</v>
      </c>
      <c r="E44" s="156">
        <f t="shared" si="54"/>
        <v>0</v>
      </c>
      <c r="F44" s="156">
        <f t="shared" si="55"/>
        <v>1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  <c r="BG44" s="110"/>
      <c r="BH44" s="110"/>
      <c r="BI44" s="110"/>
      <c r="BJ44" s="110"/>
      <c r="BK44" s="110"/>
      <c r="BL44" s="110"/>
      <c r="BM44" s="110"/>
      <c r="BN44" s="110"/>
      <c r="BO44" s="110"/>
      <c r="BP44" s="110"/>
      <c r="BQ44" s="110"/>
      <c r="BR44" s="110"/>
      <c r="BS44" s="110"/>
      <c r="BT44" s="110"/>
      <c r="BU44" s="110"/>
      <c r="BV44" s="110"/>
      <c r="BW44" s="110"/>
      <c r="BX44" s="110"/>
      <c r="BY44" s="110"/>
      <c r="BZ44" s="110"/>
      <c r="CA44" s="110"/>
      <c r="CB44" s="110"/>
      <c r="CC44" s="110"/>
    </row>
    <row r="45" spans="1:81" ht="12" customHeight="1">
      <c r="A45" s="157" t="s">
        <v>149</v>
      </c>
      <c r="B45" s="158">
        <f t="shared" ref="B45:F45" si="56">SUM(B42:B44)</f>
        <v>2</v>
      </c>
      <c r="C45" s="158">
        <f t="shared" si="56"/>
        <v>2</v>
      </c>
      <c r="D45" s="158">
        <f t="shared" si="56"/>
        <v>2</v>
      </c>
      <c r="E45" s="158">
        <f t="shared" si="56"/>
        <v>3</v>
      </c>
      <c r="F45" s="158">
        <f t="shared" si="56"/>
        <v>4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  <c r="BG45" s="110"/>
      <c r="BH45" s="110"/>
      <c r="BI45" s="110"/>
      <c r="BJ45" s="110"/>
      <c r="BK45" s="110"/>
      <c r="BL45" s="110"/>
      <c r="BM45" s="110"/>
      <c r="BN45" s="110"/>
      <c r="BO45" s="110"/>
      <c r="BP45" s="110"/>
      <c r="BQ45" s="110"/>
      <c r="BR45" s="110"/>
      <c r="BS45" s="110"/>
      <c r="BT45" s="110"/>
      <c r="BU45" s="110"/>
      <c r="BV45" s="110"/>
      <c r="BW45" s="110"/>
      <c r="BX45" s="110"/>
      <c r="BY45" s="110"/>
      <c r="BZ45" s="110"/>
      <c r="CA45" s="110"/>
      <c r="CB45" s="110"/>
      <c r="CC45" s="110"/>
    </row>
    <row r="46" spans="1:81" ht="12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110"/>
      <c r="BL46" s="110"/>
      <c r="BM46" s="110"/>
      <c r="BN46" s="110"/>
      <c r="BO46" s="110"/>
      <c r="BP46" s="110"/>
      <c r="BQ46" s="110"/>
      <c r="BR46" s="110"/>
      <c r="BS46" s="110"/>
      <c r="BT46" s="110"/>
      <c r="BU46" s="110"/>
      <c r="BV46" s="110"/>
      <c r="BW46" s="110"/>
      <c r="BX46" s="110"/>
      <c r="BY46" s="110"/>
      <c r="BZ46" s="110"/>
      <c r="CA46" s="110"/>
      <c r="CB46" s="110"/>
      <c r="CC46" s="110"/>
    </row>
    <row r="47" spans="1:81" ht="12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  <c r="BN47" s="110"/>
      <c r="BO47" s="110"/>
      <c r="BP47" s="110"/>
      <c r="BQ47" s="110"/>
      <c r="BR47" s="110"/>
      <c r="BS47" s="110"/>
      <c r="BT47" s="110"/>
      <c r="BU47" s="110"/>
      <c r="BV47" s="110"/>
      <c r="BW47" s="110"/>
      <c r="BX47" s="110"/>
      <c r="BY47" s="110"/>
      <c r="BZ47" s="110"/>
      <c r="CA47" s="110"/>
      <c r="CB47" s="110"/>
      <c r="CC47" s="110"/>
    </row>
    <row r="48" spans="1:81" ht="12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0"/>
      <c r="BC48" s="110"/>
      <c r="BD48" s="110"/>
      <c r="BE48" s="110"/>
      <c r="BF48" s="110"/>
      <c r="BG48" s="110"/>
      <c r="BH48" s="11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110"/>
      <c r="BT48" s="110"/>
      <c r="BU48" s="110"/>
      <c r="BV48" s="110"/>
      <c r="BW48" s="110"/>
      <c r="BX48" s="110"/>
      <c r="BY48" s="110"/>
      <c r="BZ48" s="110"/>
      <c r="CA48" s="110"/>
      <c r="CB48" s="110"/>
      <c r="CC48" s="110"/>
    </row>
    <row r="49" spans="1:81" ht="12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  <c r="BD49" s="110"/>
      <c r="BE49" s="110"/>
      <c r="BF49" s="110"/>
      <c r="BG49" s="110"/>
      <c r="BH49" s="110"/>
      <c r="BI49" s="110"/>
      <c r="BJ49" s="110"/>
      <c r="BK49" s="110"/>
      <c r="BL49" s="110"/>
      <c r="BM49" s="110"/>
      <c r="BN49" s="110"/>
      <c r="BO49" s="110"/>
      <c r="BP49" s="110"/>
      <c r="BQ49" s="110"/>
      <c r="BR49" s="110"/>
      <c r="BS49" s="110"/>
      <c r="BT49" s="110"/>
      <c r="BU49" s="110"/>
      <c r="BV49" s="110"/>
      <c r="BW49" s="110"/>
      <c r="BX49" s="110"/>
      <c r="BY49" s="110"/>
      <c r="BZ49" s="110"/>
      <c r="CA49" s="110"/>
      <c r="CB49" s="110"/>
      <c r="CC49" s="110"/>
    </row>
    <row r="50" spans="1:81" ht="12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  <c r="BD50" s="110"/>
      <c r="BE50" s="110"/>
      <c r="BF50" s="110"/>
      <c r="BG50" s="110"/>
      <c r="BH50" s="110"/>
      <c r="BI50" s="110"/>
      <c r="BJ50" s="110"/>
      <c r="BK50" s="110"/>
      <c r="BL50" s="110"/>
      <c r="BM50" s="110"/>
      <c r="BN50" s="110"/>
      <c r="BO50" s="110"/>
      <c r="BP50" s="110"/>
      <c r="BQ50" s="110"/>
      <c r="BR50" s="110"/>
      <c r="BS50" s="110"/>
      <c r="BT50" s="110"/>
      <c r="BU50" s="110"/>
      <c r="BV50" s="110"/>
      <c r="BW50" s="110"/>
      <c r="BX50" s="110"/>
      <c r="BY50" s="110"/>
      <c r="BZ50" s="110"/>
      <c r="CA50" s="110"/>
      <c r="CB50" s="110"/>
      <c r="CC50" s="110"/>
    </row>
    <row r="51" spans="1:81" ht="12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  <c r="BQ51" s="110"/>
      <c r="BR51" s="110"/>
      <c r="BS51" s="110"/>
      <c r="BT51" s="110"/>
      <c r="BU51" s="110"/>
      <c r="BV51" s="110"/>
      <c r="BW51" s="110"/>
      <c r="BX51" s="110"/>
      <c r="BY51" s="110"/>
      <c r="BZ51" s="110"/>
      <c r="CA51" s="110"/>
      <c r="CB51" s="110"/>
      <c r="CC51" s="110"/>
    </row>
    <row r="52" spans="1:81" ht="12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  <c r="BG52" s="110"/>
      <c r="BH52" s="110"/>
      <c r="BI52" s="110"/>
      <c r="BJ52" s="110"/>
      <c r="BK52" s="110"/>
      <c r="BL52" s="110"/>
      <c r="BM52" s="110"/>
      <c r="BN52" s="110"/>
      <c r="BO52" s="110"/>
      <c r="BP52" s="110"/>
      <c r="BQ52" s="110"/>
      <c r="BR52" s="110"/>
      <c r="BS52" s="110"/>
      <c r="BT52" s="110"/>
      <c r="BU52" s="110"/>
      <c r="BV52" s="110"/>
      <c r="BW52" s="110"/>
      <c r="BX52" s="110"/>
      <c r="BY52" s="110"/>
      <c r="BZ52" s="110"/>
      <c r="CA52" s="110"/>
      <c r="CB52" s="110"/>
      <c r="CC52" s="110"/>
    </row>
    <row r="53" spans="1:81" ht="12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0"/>
      <c r="BI53" s="110"/>
      <c r="BJ53" s="110"/>
      <c r="BK53" s="110"/>
      <c r="BL53" s="110"/>
      <c r="BM53" s="110"/>
      <c r="BN53" s="110"/>
      <c r="BO53" s="110"/>
      <c r="BP53" s="110"/>
      <c r="BQ53" s="110"/>
      <c r="BR53" s="110"/>
      <c r="BS53" s="110"/>
      <c r="BT53" s="110"/>
      <c r="BU53" s="110"/>
      <c r="BV53" s="110"/>
      <c r="BW53" s="110"/>
      <c r="BX53" s="110"/>
      <c r="BY53" s="110"/>
      <c r="BZ53" s="110"/>
      <c r="CA53" s="110"/>
      <c r="CB53" s="110"/>
      <c r="CC53" s="110"/>
    </row>
    <row r="54" spans="1:81" ht="12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  <c r="BY54" s="110"/>
      <c r="BZ54" s="110"/>
      <c r="CA54" s="110"/>
      <c r="CB54" s="110"/>
      <c r="CC54" s="110"/>
    </row>
    <row r="55" spans="1:81" ht="12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  <c r="BY55" s="110"/>
      <c r="BZ55" s="110"/>
      <c r="CA55" s="110"/>
      <c r="CB55" s="110"/>
      <c r="CC55" s="110"/>
    </row>
    <row r="56" spans="1:81" ht="12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  <c r="CC56" s="110"/>
    </row>
    <row r="57" spans="1:81" ht="12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</row>
    <row r="58" spans="1:81" ht="12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110"/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  <c r="CC58" s="110"/>
    </row>
    <row r="59" spans="1:81" ht="12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</row>
    <row r="60" spans="1:81" ht="12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</row>
    <row r="61" spans="1:81" ht="12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</row>
    <row r="62" spans="1:81" ht="12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  <c r="BM62" s="110"/>
      <c r="BN62" s="110"/>
      <c r="BO62" s="110"/>
      <c r="BP62" s="110"/>
      <c r="BQ62" s="110"/>
      <c r="BR62" s="110"/>
      <c r="BS62" s="110"/>
      <c r="BT62" s="110"/>
      <c r="BU62" s="110"/>
      <c r="BV62" s="110"/>
      <c r="BW62" s="110"/>
      <c r="BX62" s="110"/>
      <c r="BY62" s="110"/>
      <c r="BZ62" s="110"/>
      <c r="CA62" s="110"/>
      <c r="CB62" s="110"/>
      <c r="CC62" s="110"/>
    </row>
    <row r="63" spans="1:81" ht="12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  <c r="BS63" s="110"/>
      <c r="BT63" s="110"/>
      <c r="BU63" s="110"/>
      <c r="BV63" s="110"/>
      <c r="BW63" s="110"/>
      <c r="BX63" s="110"/>
      <c r="BY63" s="110"/>
      <c r="BZ63" s="110"/>
      <c r="CA63" s="110"/>
      <c r="CB63" s="110"/>
      <c r="CC63" s="110"/>
    </row>
    <row r="64" spans="1:81" ht="12" customHeight="1">
      <c r="A64" s="159" t="s">
        <v>150</v>
      </c>
      <c r="B64" s="160">
        <f t="shared" ref="B64:F64" si="57">SUM(B41:B44)</f>
        <v>3</v>
      </c>
      <c r="C64" s="160">
        <f t="shared" si="57"/>
        <v>3</v>
      </c>
      <c r="D64" s="160">
        <f t="shared" si="57"/>
        <v>3</v>
      </c>
      <c r="E64" s="160">
        <f t="shared" si="57"/>
        <v>4</v>
      </c>
      <c r="F64" s="160">
        <f t="shared" si="57"/>
        <v>5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  <c r="BS64" s="110"/>
      <c r="BT64" s="110"/>
      <c r="BU64" s="110"/>
      <c r="BV64" s="110"/>
      <c r="BW64" s="110"/>
      <c r="BX64" s="110"/>
      <c r="BY64" s="110"/>
      <c r="BZ64" s="110"/>
      <c r="CA64" s="110"/>
      <c r="CB64" s="110"/>
      <c r="CC64" s="110"/>
    </row>
    <row r="65" spans="1:81" ht="12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  <c r="BS65" s="110"/>
      <c r="BT65" s="110"/>
      <c r="BU65" s="110"/>
      <c r="BV65" s="110"/>
      <c r="BW65" s="110"/>
      <c r="BX65" s="110"/>
      <c r="BY65" s="110"/>
      <c r="BZ65" s="110"/>
      <c r="CA65" s="110"/>
      <c r="CB65" s="110"/>
      <c r="CC65" s="110"/>
    </row>
    <row r="66" spans="1:81" ht="12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  <c r="BG66" s="110"/>
      <c r="BH66" s="110"/>
      <c r="BI66" s="110"/>
      <c r="BJ66" s="110"/>
      <c r="BK66" s="110"/>
      <c r="BL66" s="110"/>
      <c r="BM66" s="110"/>
      <c r="BN66" s="110"/>
      <c r="BO66" s="110"/>
      <c r="BP66" s="110"/>
      <c r="BQ66" s="110"/>
      <c r="BR66" s="110"/>
      <c r="BS66" s="110"/>
      <c r="BT66" s="110"/>
      <c r="BU66" s="110"/>
      <c r="BV66" s="110"/>
      <c r="BW66" s="110"/>
      <c r="BX66" s="110"/>
      <c r="BY66" s="110"/>
      <c r="BZ66" s="110"/>
      <c r="CA66" s="110"/>
      <c r="CB66" s="110"/>
      <c r="CC66" s="110"/>
    </row>
    <row r="67" spans="1:81" ht="12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  <c r="AY67" s="110"/>
      <c r="AZ67" s="110"/>
      <c r="BA67" s="110"/>
      <c r="BB67" s="110"/>
      <c r="BC67" s="110"/>
      <c r="BD67" s="110"/>
      <c r="BE67" s="110"/>
      <c r="BF67" s="110"/>
      <c r="BG67" s="110"/>
      <c r="BH67" s="110"/>
      <c r="BI67" s="110"/>
      <c r="BJ67" s="110"/>
      <c r="BK67" s="110"/>
      <c r="BL67" s="110"/>
      <c r="BM67" s="110"/>
      <c r="BN67" s="110"/>
      <c r="BO67" s="110"/>
      <c r="BP67" s="110"/>
      <c r="BQ67" s="110"/>
      <c r="BR67" s="110"/>
      <c r="BS67" s="110"/>
      <c r="BT67" s="110"/>
      <c r="BU67" s="110"/>
      <c r="BV67" s="110"/>
      <c r="BW67" s="110"/>
      <c r="BX67" s="110"/>
      <c r="BY67" s="110"/>
      <c r="BZ67" s="110"/>
      <c r="CA67" s="110"/>
      <c r="CB67" s="110"/>
      <c r="CC67" s="110"/>
    </row>
    <row r="68" spans="1:81" ht="12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  <c r="BG68" s="110"/>
      <c r="BH68" s="110"/>
      <c r="BI68" s="110"/>
      <c r="BJ68" s="110"/>
      <c r="BK68" s="110"/>
      <c r="BL68" s="110"/>
      <c r="BM68" s="110"/>
      <c r="BN68" s="110"/>
      <c r="BO68" s="110"/>
      <c r="BP68" s="110"/>
      <c r="BQ68" s="110"/>
      <c r="BR68" s="110"/>
      <c r="BS68" s="110"/>
      <c r="BT68" s="110"/>
      <c r="BU68" s="110"/>
      <c r="BV68" s="110"/>
      <c r="BW68" s="110"/>
      <c r="BX68" s="110"/>
      <c r="BY68" s="110"/>
      <c r="BZ68" s="110"/>
      <c r="CA68" s="110"/>
      <c r="CB68" s="110"/>
      <c r="CC68" s="110"/>
    </row>
    <row r="69" spans="1:81" ht="12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  <c r="BB69" s="110"/>
      <c r="BC69" s="110"/>
      <c r="BD69" s="110"/>
      <c r="BE69" s="110"/>
      <c r="BF69" s="110"/>
      <c r="BG69" s="110"/>
      <c r="BH69" s="110"/>
      <c r="BI69" s="110"/>
      <c r="BJ69" s="110"/>
      <c r="BK69" s="110"/>
      <c r="BL69" s="110"/>
      <c r="BM69" s="110"/>
      <c r="BN69" s="110"/>
      <c r="BO69" s="110"/>
      <c r="BP69" s="110"/>
      <c r="BQ69" s="110"/>
      <c r="BR69" s="110"/>
      <c r="BS69" s="110"/>
      <c r="BT69" s="110"/>
      <c r="BU69" s="110"/>
      <c r="BV69" s="110"/>
      <c r="BW69" s="110"/>
      <c r="BX69" s="110"/>
      <c r="BY69" s="110"/>
      <c r="BZ69" s="110"/>
      <c r="CA69" s="110"/>
      <c r="CB69" s="110"/>
      <c r="CC69" s="110"/>
    </row>
    <row r="70" spans="1:81" ht="12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  <c r="BS70" s="110"/>
      <c r="BT70" s="110"/>
      <c r="BU70" s="110"/>
      <c r="BV70" s="110"/>
      <c r="BW70" s="110"/>
      <c r="BX70" s="110"/>
      <c r="BY70" s="110"/>
      <c r="BZ70" s="110"/>
      <c r="CA70" s="110"/>
      <c r="CB70" s="110"/>
      <c r="CC70" s="110"/>
    </row>
    <row r="71" spans="1:81" ht="12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0"/>
      <c r="BK71" s="110"/>
      <c r="BL71" s="110"/>
      <c r="BM71" s="110"/>
      <c r="BN71" s="110"/>
      <c r="BO71" s="110"/>
      <c r="BP71" s="110"/>
      <c r="BQ71" s="110"/>
      <c r="BR71" s="110"/>
      <c r="BS71" s="110"/>
      <c r="BT71" s="110"/>
      <c r="BU71" s="110"/>
      <c r="BV71" s="110"/>
      <c r="BW71" s="110"/>
      <c r="BX71" s="110"/>
      <c r="BY71" s="110"/>
      <c r="BZ71" s="110"/>
      <c r="CA71" s="110"/>
      <c r="CB71" s="110"/>
      <c r="CC71" s="110"/>
    </row>
    <row r="72" spans="1:81" ht="12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  <c r="BG72" s="110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  <c r="BS72" s="110"/>
      <c r="BT72" s="110"/>
      <c r="BU72" s="110"/>
      <c r="BV72" s="110"/>
      <c r="BW72" s="110"/>
      <c r="BX72" s="110"/>
      <c r="BY72" s="110"/>
      <c r="BZ72" s="110"/>
      <c r="CA72" s="110"/>
      <c r="CB72" s="110"/>
      <c r="CC72" s="110"/>
    </row>
    <row r="73" spans="1:81" ht="12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  <c r="BS73" s="110"/>
      <c r="BT73" s="110"/>
      <c r="BU73" s="110"/>
      <c r="BV73" s="110"/>
      <c r="BW73" s="110"/>
      <c r="BX73" s="110"/>
      <c r="BY73" s="110"/>
      <c r="BZ73" s="110"/>
      <c r="CA73" s="110"/>
      <c r="CB73" s="110"/>
      <c r="CC73" s="110"/>
    </row>
    <row r="74" spans="1:81" ht="12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  <c r="BS74" s="110"/>
      <c r="BT74" s="110"/>
      <c r="BU74" s="110"/>
      <c r="BV74" s="110"/>
      <c r="BW74" s="110"/>
      <c r="BX74" s="110"/>
      <c r="BY74" s="110"/>
      <c r="BZ74" s="110"/>
      <c r="CA74" s="110"/>
      <c r="CB74" s="110"/>
      <c r="CC74" s="110"/>
    </row>
    <row r="75" spans="1:81" ht="12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  <c r="BH75" s="110"/>
      <c r="BI75" s="110"/>
      <c r="BJ75" s="110"/>
      <c r="BK75" s="110"/>
      <c r="BL75" s="110"/>
      <c r="BM75" s="110"/>
      <c r="BN75" s="110"/>
      <c r="BO75" s="110"/>
      <c r="BP75" s="110"/>
      <c r="BQ75" s="110"/>
      <c r="BR75" s="110"/>
      <c r="BS75" s="110"/>
      <c r="BT75" s="110"/>
      <c r="BU75" s="110"/>
      <c r="BV75" s="110"/>
      <c r="BW75" s="110"/>
      <c r="BX75" s="110"/>
      <c r="BY75" s="110"/>
      <c r="BZ75" s="110"/>
      <c r="CA75" s="110"/>
      <c r="CB75" s="110"/>
      <c r="CC75" s="110"/>
    </row>
    <row r="76" spans="1:81" ht="12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  <c r="BS76" s="110"/>
      <c r="BT76" s="110"/>
      <c r="BU76" s="110"/>
      <c r="BV76" s="110"/>
      <c r="BW76" s="110"/>
      <c r="BX76" s="110"/>
      <c r="BY76" s="110"/>
      <c r="BZ76" s="110"/>
      <c r="CA76" s="110"/>
      <c r="CB76" s="110"/>
      <c r="CC76" s="110"/>
    </row>
    <row r="77" spans="1:81" ht="12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  <c r="BS77" s="110"/>
      <c r="BT77" s="110"/>
      <c r="BU77" s="110"/>
      <c r="BV77" s="110"/>
      <c r="BW77" s="110"/>
      <c r="BX77" s="110"/>
      <c r="BY77" s="110"/>
      <c r="BZ77" s="110"/>
      <c r="CA77" s="110"/>
      <c r="CB77" s="110"/>
      <c r="CC77" s="110"/>
    </row>
    <row r="78" spans="1:81" ht="12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  <c r="BS78" s="110"/>
      <c r="BT78" s="110"/>
      <c r="BU78" s="110"/>
      <c r="BV78" s="110"/>
      <c r="BW78" s="110"/>
      <c r="BX78" s="110"/>
      <c r="BY78" s="110"/>
      <c r="BZ78" s="110"/>
      <c r="CA78" s="110"/>
      <c r="CB78" s="110"/>
      <c r="CC78" s="110"/>
    </row>
    <row r="79" spans="1:81" ht="12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  <c r="BY79" s="110"/>
      <c r="BZ79" s="110"/>
      <c r="CA79" s="110"/>
      <c r="CB79" s="110"/>
      <c r="CC79" s="110"/>
    </row>
    <row r="80" spans="1:81" ht="12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  <c r="BG80" s="110"/>
      <c r="BH80" s="110"/>
      <c r="BI80" s="110"/>
      <c r="BJ80" s="110"/>
      <c r="BK80" s="110"/>
      <c r="BL80" s="110"/>
      <c r="BM80" s="110"/>
      <c r="BN80" s="110"/>
      <c r="BO80" s="110"/>
      <c r="BP80" s="110"/>
      <c r="BQ80" s="110"/>
      <c r="BR80" s="110"/>
      <c r="BS80" s="110"/>
      <c r="BT80" s="110"/>
      <c r="BU80" s="110"/>
      <c r="BV80" s="110"/>
      <c r="BW80" s="110"/>
      <c r="BX80" s="110"/>
      <c r="BY80" s="110"/>
      <c r="BZ80" s="110"/>
      <c r="CA80" s="110"/>
      <c r="CB80" s="110"/>
      <c r="CC80" s="110"/>
    </row>
    <row r="81" spans="1:81" ht="12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  <c r="BY81" s="110"/>
      <c r="BZ81" s="110"/>
      <c r="CA81" s="110"/>
      <c r="CB81" s="110"/>
      <c r="CC81" s="110"/>
    </row>
    <row r="82" spans="1:81" ht="12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  <c r="BY82" s="110"/>
      <c r="BZ82" s="110"/>
      <c r="CA82" s="110"/>
      <c r="CB82" s="110"/>
      <c r="CC82" s="110"/>
    </row>
    <row r="83" spans="1:81" ht="12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  <c r="BY83" s="110"/>
      <c r="BZ83" s="110"/>
      <c r="CA83" s="110"/>
      <c r="CB83" s="110"/>
      <c r="CC83" s="110"/>
    </row>
    <row r="84" spans="1:81" ht="12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  <c r="BS84" s="110"/>
      <c r="BT84" s="110"/>
      <c r="BU84" s="110"/>
      <c r="BV84" s="110"/>
      <c r="BW84" s="110"/>
      <c r="BX84" s="110"/>
      <c r="BY84" s="110"/>
      <c r="BZ84" s="110"/>
      <c r="CA84" s="110"/>
      <c r="CB84" s="110"/>
      <c r="CC84" s="110"/>
    </row>
    <row r="85" spans="1:81" ht="12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  <c r="BG85" s="110"/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  <c r="BS85" s="110"/>
      <c r="BT85" s="110"/>
      <c r="BU85" s="110"/>
      <c r="BV85" s="110"/>
      <c r="BW85" s="110"/>
      <c r="BX85" s="110"/>
      <c r="BY85" s="110"/>
      <c r="BZ85" s="110"/>
      <c r="CA85" s="110"/>
      <c r="CB85" s="110"/>
      <c r="CC85" s="110"/>
    </row>
    <row r="86" spans="1:81" ht="12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  <c r="BG86" s="110"/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  <c r="BS86" s="110"/>
      <c r="BT86" s="110"/>
      <c r="BU86" s="110"/>
      <c r="BV86" s="110"/>
      <c r="BW86" s="110"/>
      <c r="BX86" s="110"/>
      <c r="BY86" s="110"/>
      <c r="BZ86" s="110"/>
      <c r="CA86" s="110"/>
      <c r="CB86" s="110"/>
      <c r="CC86" s="110"/>
    </row>
    <row r="87" spans="1:81" ht="12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  <c r="BG87" s="110"/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  <c r="BS87" s="110"/>
      <c r="BT87" s="110"/>
      <c r="BU87" s="110"/>
      <c r="BV87" s="110"/>
      <c r="BW87" s="110"/>
      <c r="BX87" s="110"/>
      <c r="BY87" s="110"/>
      <c r="BZ87" s="110"/>
      <c r="CA87" s="110"/>
      <c r="CB87" s="110"/>
      <c r="CC87" s="110"/>
    </row>
    <row r="88" spans="1:81" ht="12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  <c r="BS88" s="110"/>
      <c r="BT88" s="110"/>
      <c r="BU88" s="110"/>
      <c r="BV88" s="110"/>
      <c r="BW88" s="110"/>
      <c r="BX88" s="110"/>
      <c r="BY88" s="110"/>
      <c r="BZ88" s="110"/>
      <c r="CA88" s="110"/>
      <c r="CB88" s="110"/>
      <c r="CC88" s="110"/>
    </row>
    <row r="89" spans="1:81" ht="12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  <c r="BS89" s="110"/>
      <c r="BT89" s="110"/>
      <c r="BU89" s="110"/>
      <c r="BV89" s="110"/>
      <c r="BW89" s="110"/>
      <c r="BX89" s="110"/>
      <c r="BY89" s="110"/>
      <c r="BZ89" s="110"/>
      <c r="CA89" s="110"/>
      <c r="CB89" s="110"/>
      <c r="CC89" s="110"/>
    </row>
    <row r="90" spans="1:81" ht="12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10"/>
      <c r="BV90" s="110"/>
      <c r="BW90" s="110"/>
      <c r="BX90" s="110"/>
      <c r="BY90" s="110"/>
      <c r="BZ90" s="110"/>
      <c r="CA90" s="110"/>
      <c r="CB90" s="110"/>
      <c r="CC90" s="110"/>
    </row>
    <row r="91" spans="1:81" ht="12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  <c r="BG91" s="110"/>
      <c r="BH91" s="110"/>
      <c r="BI91" s="110"/>
      <c r="BJ91" s="110"/>
      <c r="BK91" s="110"/>
      <c r="BL91" s="110"/>
      <c r="BM91" s="110"/>
      <c r="BN91" s="110"/>
      <c r="BO91" s="110"/>
      <c r="BP91" s="110"/>
      <c r="BQ91" s="110"/>
      <c r="BR91" s="110"/>
      <c r="BS91" s="110"/>
      <c r="BT91" s="110"/>
      <c r="BU91" s="110"/>
      <c r="BV91" s="110"/>
      <c r="BW91" s="110"/>
      <c r="BX91" s="110"/>
      <c r="BY91" s="110"/>
      <c r="BZ91" s="110"/>
      <c r="CA91" s="110"/>
      <c r="CB91" s="110"/>
      <c r="CC91" s="110"/>
    </row>
    <row r="92" spans="1:81" ht="12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  <c r="AW92" s="110"/>
      <c r="AX92" s="110"/>
      <c r="AY92" s="110"/>
      <c r="AZ92" s="110"/>
      <c r="BA92" s="110"/>
      <c r="BB92" s="110"/>
      <c r="BC92" s="110"/>
      <c r="BD92" s="110"/>
      <c r="BE92" s="110"/>
      <c r="BF92" s="110"/>
      <c r="BG92" s="110"/>
      <c r="BH92" s="110"/>
      <c r="BI92" s="110"/>
      <c r="BJ92" s="110"/>
      <c r="BK92" s="110"/>
      <c r="BL92" s="110"/>
      <c r="BM92" s="110"/>
      <c r="BN92" s="110"/>
      <c r="BO92" s="110"/>
      <c r="BP92" s="110"/>
      <c r="BQ92" s="110"/>
      <c r="BR92" s="110"/>
      <c r="BS92" s="110"/>
      <c r="BT92" s="110"/>
      <c r="BU92" s="110"/>
      <c r="BV92" s="110"/>
      <c r="BW92" s="110"/>
      <c r="BX92" s="110"/>
      <c r="BY92" s="110"/>
      <c r="BZ92" s="110"/>
      <c r="CA92" s="110"/>
      <c r="CB92" s="110"/>
      <c r="CC92" s="110"/>
    </row>
    <row r="93" spans="1:81" ht="12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110"/>
      <c r="BA93" s="110"/>
      <c r="BB93" s="110"/>
      <c r="BC93" s="110"/>
      <c r="BD93" s="110"/>
      <c r="BE93" s="110"/>
      <c r="BF93" s="110"/>
      <c r="BG93" s="110"/>
      <c r="BH93" s="110"/>
      <c r="BI93" s="110"/>
      <c r="BJ93" s="110"/>
      <c r="BK93" s="110"/>
      <c r="BL93" s="110"/>
      <c r="BM93" s="110"/>
      <c r="BN93" s="110"/>
      <c r="BO93" s="110"/>
      <c r="BP93" s="110"/>
      <c r="BQ93" s="110"/>
      <c r="BR93" s="110"/>
      <c r="BS93" s="110"/>
      <c r="BT93" s="110"/>
      <c r="BU93" s="110"/>
      <c r="BV93" s="110"/>
      <c r="BW93" s="110"/>
      <c r="BX93" s="110"/>
      <c r="BY93" s="110"/>
      <c r="BZ93" s="110"/>
      <c r="CA93" s="110"/>
      <c r="CB93" s="110"/>
      <c r="CC93" s="110"/>
    </row>
    <row r="94" spans="1:81" ht="12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110"/>
      <c r="BL94" s="110"/>
      <c r="BM94" s="110"/>
      <c r="BN94" s="110"/>
      <c r="BO94" s="110"/>
      <c r="BP94" s="110"/>
      <c r="BQ94" s="110"/>
      <c r="BR94" s="110"/>
      <c r="BS94" s="110"/>
      <c r="BT94" s="110"/>
      <c r="BU94" s="110"/>
      <c r="BV94" s="110"/>
      <c r="BW94" s="110"/>
      <c r="BX94" s="110"/>
      <c r="BY94" s="110"/>
      <c r="BZ94" s="110"/>
      <c r="CA94" s="110"/>
      <c r="CB94" s="110"/>
      <c r="CC94" s="110"/>
    </row>
    <row r="95" spans="1:81" ht="12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  <c r="BH95" s="110"/>
      <c r="BI95" s="110"/>
      <c r="BJ95" s="110"/>
      <c r="BK95" s="110"/>
      <c r="BL95" s="110"/>
      <c r="BM95" s="110"/>
      <c r="BN95" s="110"/>
      <c r="BO95" s="110"/>
      <c r="BP95" s="110"/>
      <c r="BQ95" s="110"/>
      <c r="BR95" s="110"/>
      <c r="BS95" s="110"/>
      <c r="BT95" s="110"/>
      <c r="BU95" s="110"/>
      <c r="BV95" s="110"/>
      <c r="BW95" s="110"/>
      <c r="BX95" s="110"/>
      <c r="BY95" s="110"/>
      <c r="BZ95" s="110"/>
      <c r="CA95" s="110"/>
      <c r="CB95" s="110"/>
      <c r="CC95" s="110"/>
    </row>
    <row r="96" spans="1:81" ht="12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  <c r="BA96" s="110"/>
      <c r="BB96" s="110"/>
      <c r="BC96" s="110"/>
      <c r="BD96" s="110"/>
      <c r="BE96" s="110"/>
      <c r="BF96" s="110"/>
      <c r="BG96" s="110"/>
      <c r="BH96" s="110"/>
      <c r="BI96" s="110"/>
      <c r="BJ96" s="110"/>
      <c r="BK96" s="110"/>
      <c r="BL96" s="110"/>
      <c r="BM96" s="110"/>
      <c r="BN96" s="110"/>
      <c r="BO96" s="110"/>
      <c r="BP96" s="110"/>
      <c r="BQ96" s="110"/>
      <c r="BR96" s="110"/>
      <c r="BS96" s="110"/>
      <c r="BT96" s="110"/>
      <c r="BU96" s="110"/>
      <c r="BV96" s="110"/>
      <c r="BW96" s="110"/>
      <c r="BX96" s="110"/>
      <c r="BY96" s="110"/>
      <c r="BZ96" s="110"/>
      <c r="CA96" s="110"/>
      <c r="CB96" s="110"/>
      <c r="CC96" s="110"/>
    </row>
    <row r="97" spans="1:81" ht="12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  <c r="BD97" s="110"/>
      <c r="BE97" s="110"/>
      <c r="BF97" s="110"/>
      <c r="BG97" s="110"/>
      <c r="BH97" s="110"/>
      <c r="BI97" s="110"/>
      <c r="BJ97" s="110"/>
      <c r="BK97" s="110"/>
      <c r="BL97" s="110"/>
      <c r="BM97" s="110"/>
      <c r="BN97" s="110"/>
      <c r="BO97" s="110"/>
      <c r="BP97" s="110"/>
      <c r="BQ97" s="110"/>
      <c r="BR97" s="110"/>
      <c r="BS97" s="110"/>
      <c r="BT97" s="110"/>
      <c r="BU97" s="110"/>
      <c r="BV97" s="110"/>
      <c r="BW97" s="110"/>
      <c r="BX97" s="110"/>
      <c r="BY97" s="110"/>
      <c r="BZ97" s="110"/>
      <c r="CA97" s="110"/>
      <c r="CB97" s="110"/>
      <c r="CC97" s="110"/>
    </row>
    <row r="98" spans="1:81" ht="12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  <c r="BD98" s="110"/>
      <c r="BE98" s="110"/>
      <c r="BF98" s="110"/>
      <c r="BG98" s="110"/>
      <c r="BH98" s="110"/>
      <c r="BI98" s="110"/>
      <c r="BJ98" s="110"/>
      <c r="BK98" s="110"/>
      <c r="BL98" s="110"/>
      <c r="BM98" s="110"/>
      <c r="BN98" s="110"/>
      <c r="BO98" s="110"/>
      <c r="BP98" s="110"/>
      <c r="BQ98" s="110"/>
      <c r="BR98" s="110"/>
      <c r="BS98" s="110"/>
      <c r="BT98" s="110"/>
      <c r="BU98" s="110"/>
      <c r="BV98" s="110"/>
      <c r="BW98" s="110"/>
      <c r="BX98" s="110"/>
      <c r="BY98" s="110"/>
      <c r="BZ98" s="110"/>
      <c r="CA98" s="110"/>
      <c r="CB98" s="110"/>
      <c r="CC98" s="110"/>
    </row>
    <row r="99" spans="1:81" ht="12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  <c r="AW99" s="110"/>
      <c r="AX99" s="110"/>
      <c r="AY99" s="110"/>
      <c r="AZ99" s="110"/>
      <c r="BA99" s="110"/>
      <c r="BB99" s="110"/>
      <c r="BC99" s="110"/>
      <c r="BD99" s="110"/>
      <c r="BE99" s="110"/>
      <c r="BF99" s="110"/>
      <c r="BG99" s="110"/>
      <c r="BH99" s="110"/>
      <c r="BI99" s="110"/>
      <c r="BJ99" s="110"/>
      <c r="BK99" s="110"/>
      <c r="BL99" s="110"/>
      <c r="BM99" s="110"/>
      <c r="BN99" s="110"/>
      <c r="BO99" s="110"/>
      <c r="BP99" s="110"/>
      <c r="BQ99" s="110"/>
      <c r="BR99" s="110"/>
      <c r="BS99" s="110"/>
      <c r="BT99" s="110"/>
      <c r="BU99" s="110"/>
      <c r="BV99" s="110"/>
      <c r="BW99" s="110"/>
      <c r="BX99" s="110"/>
      <c r="BY99" s="110"/>
      <c r="BZ99" s="110"/>
      <c r="CA99" s="110"/>
      <c r="CB99" s="110"/>
      <c r="CC99" s="110"/>
    </row>
    <row r="100" spans="1:81" ht="12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  <c r="BG100" s="110"/>
      <c r="BH100" s="110"/>
      <c r="BI100" s="110"/>
      <c r="BJ100" s="110"/>
      <c r="BK100" s="110"/>
      <c r="BL100" s="110"/>
      <c r="BM100" s="110"/>
      <c r="BN100" s="110"/>
      <c r="BO100" s="110"/>
      <c r="BP100" s="110"/>
      <c r="BQ100" s="110"/>
      <c r="BR100" s="110"/>
      <c r="BS100" s="110"/>
      <c r="BT100" s="110"/>
      <c r="BU100" s="110"/>
      <c r="BV100" s="110"/>
      <c r="BW100" s="110"/>
      <c r="BX100" s="110"/>
      <c r="BY100" s="110"/>
      <c r="BZ100" s="110"/>
      <c r="CA100" s="110"/>
      <c r="CB100" s="110"/>
      <c r="CC100" s="110"/>
    </row>
    <row r="101" spans="1:81" ht="12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  <c r="AW101" s="110"/>
      <c r="AX101" s="110"/>
      <c r="AY101" s="110"/>
      <c r="AZ101" s="110"/>
      <c r="BA101" s="110"/>
      <c r="BB101" s="110"/>
      <c r="BC101" s="110"/>
      <c r="BD101" s="110"/>
      <c r="BE101" s="110"/>
      <c r="BF101" s="110"/>
      <c r="BG101" s="110"/>
      <c r="BH101" s="110"/>
      <c r="BI101" s="110"/>
      <c r="BJ101" s="110"/>
      <c r="BK101" s="110"/>
      <c r="BL101" s="110"/>
      <c r="BM101" s="110"/>
      <c r="BN101" s="110"/>
      <c r="BO101" s="110"/>
      <c r="BP101" s="110"/>
      <c r="BQ101" s="110"/>
      <c r="BR101" s="110"/>
      <c r="BS101" s="110"/>
      <c r="BT101" s="110"/>
      <c r="BU101" s="110"/>
      <c r="BV101" s="110"/>
      <c r="BW101" s="110"/>
      <c r="BX101" s="110"/>
      <c r="BY101" s="110"/>
      <c r="BZ101" s="110"/>
      <c r="CA101" s="110"/>
      <c r="CB101" s="110"/>
      <c r="CC101" s="110"/>
    </row>
    <row r="102" spans="1:81" ht="12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0"/>
      <c r="AW102" s="110"/>
      <c r="AX102" s="110"/>
      <c r="AY102" s="110"/>
      <c r="AZ102" s="110"/>
      <c r="BA102" s="110"/>
      <c r="BB102" s="110"/>
      <c r="BC102" s="110"/>
      <c r="BD102" s="110"/>
      <c r="BE102" s="110"/>
      <c r="BF102" s="110"/>
      <c r="BG102" s="110"/>
      <c r="BH102" s="110"/>
      <c r="BI102" s="110"/>
      <c r="BJ102" s="110"/>
      <c r="BK102" s="110"/>
      <c r="BL102" s="110"/>
      <c r="BM102" s="110"/>
      <c r="BN102" s="110"/>
      <c r="BO102" s="110"/>
      <c r="BP102" s="110"/>
      <c r="BQ102" s="110"/>
      <c r="BR102" s="110"/>
      <c r="BS102" s="110"/>
      <c r="BT102" s="110"/>
      <c r="BU102" s="110"/>
      <c r="BV102" s="110"/>
      <c r="BW102" s="110"/>
      <c r="BX102" s="110"/>
      <c r="BY102" s="110"/>
      <c r="BZ102" s="110"/>
      <c r="CA102" s="110"/>
      <c r="CB102" s="110"/>
      <c r="CC102" s="110"/>
    </row>
    <row r="103" spans="1:81" ht="12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  <c r="AW103" s="110"/>
      <c r="AX103" s="110"/>
      <c r="AY103" s="110"/>
      <c r="AZ103" s="110"/>
      <c r="BA103" s="110"/>
      <c r="BB103" s="110"/>
      <c r="BC103" s="110"/>
      <c r="BD103" s="110"/>
      <c r="BE103" s="110"/>
      <c r="BF103" s="110"/>
      <c r="BG103" s="110"/>
      <c r="BH103" s="110"/>
      <c r="BI103" s="110"/>
      <c r="BJ103" s="110"/>
      <c r="BK103" s="110"/>
      <c r="BL103" s="110"/>
      <c r="BM103" s="110"/>
      <c r="BN103" s="110"/>
      <c r="BO103" s="110"/>
      <c r="BP103" s="110"/>
      <c r="BQ103" s="110"/>
      <c r="BR103" s="110"/>
      <c r="BS103" s="110"/>
      <c r="BT103" s="110"/>
      <c r="BU103" s="110"/>
      <c r="BV103" s="110"/>
      <c r="BW103" s="110"/>
      <c r="BX103" s="110"/>
      <c r="BY103" s="110"/>
      <c r="BZ103" s="110"/>
      <c r="CA103" s="110"/>
      <c r="CB103" s="110"/>
      <c r="CC103" s="110"/>
    </row>
    <row r="104" spans="1:81" ht="12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110"/>
      <c r="BG104" s="110"/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R104" s="110"/>
      <c r="BS104" s="110"/>
      <c r="BT104" s="110"/>
      <c r="BU104" s="110"/>
      <c r="BV104" s="110"/>
      <c r="BW104" s="110"/>
      <c r="BX104" s="110"/>
      <c r="BY104" s="110"/>
      <c r="BZ104" s="110"/>
      <c r="CA104" s="110"/>
      <c r="CB104" s="110"/>
      <c r="CC104" s="110"/>
    </row>
    <row r="105" spans="1:81" ht="12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0"/>
      <c r="BY105" s="110"/>
      <c r="BZ105" s="110"/>
      <c r="CA105" s="110"/>
      <c r="CB105" s="110"/>
      <c r="CC105" s="110"/>
    </row>
    <row r="106" spans="1:81" ht="12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0"/>
      <c r="BY106" s="110"/>
      <c r="BZ106" s="110"/>
      <c r="CA106" s="110"/>
      <c r="CB106" s="110"/>
      <c r="CC106" s="110"/>
    </row>
    <row r="107" spans="1:81" ht="12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0"/>
      <c r="BU107" s="110"/>
      <c r="BV107" s="110"/>
      <c r="BW107" s="110"/>
      <c r="BX107" s="110"/>
      <c r="BY107" s="110"/>
      <c r="BZ107" s="110"/>
      <c r="CA107" s="110"/>
      <c r="CB107" s="110"/>
      <c r="CC107" s="110"/>
    </row>
    <row r="108" spans="1:81" ht="12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110"/>
      <c r="AX108" s="110"/>
      <c r="AY108" s="110"/>
      <c r="AZ108" s="110"/>
      <c r="BA108" s="110"/>
      <c r="BB108" s="110"/>
      <c r="BC108" s="110"/>
      <c r="BD108" s="110"/>
      <c r="BE108" s="110"/>
      <c r="BF108" s="110"/>
      <c r="BG108" s="110"/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  <c r="BR108" s="110"/>
      <c r="BS108" s="110"/>
      <c r="BT108" s="110"/>
      <c r="BU108" s="110"/>
      <c r="BV108" s="110"/>
      <c r="BW108" s="110"/>
      <c r="BX108" s="110"/>
      <c r="BY108" s="110"/>
      <c r="BZ108" s="110"/>
      <c r="CA108" s="110"/>
      <c r="CB108" s="110"/>
      <c r="CC108" s="110"/>
    </row>
    <row r="109" spans="1:81" ht="12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  <c r="BG109" s="110"/>
      <c r="BH109" s="110"/>
      <c r="BI109" s="110"/>
      <c r="BJ109" s="110"/>
      <c r="BK109" s="110"/>
      <c r="BL109" s="110"/>
      <c r="BM109" s="110"/>
      <c r="BN109" s="110"/>
      <c r="BO109" s="110"/>
      <c r="BP109" s="110"/>
      <c r="BQ109" s="110"/>
      <c r="BR109" s="110"/>
      <c r="BS109" s="110"/>
      <c r="BT109" s="110"/>
      <c r="BU109" s="110"/>
      <c r="BV109" s="110"/>
      <c r="BW109" s="110"/>
      <c r="BX109" s="110"/>
      <c r="BY109" s="110"/>
      <c r="BZ109" s="110"/>
      <c r="CA109" s="110"/>
      <c r="CB109" s="110"/>
      <c r="CC109" s="110"/>
    </row>
    <row r="110" spans="1:81" ht="12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110"/>
      <c r="BM110" s="110"/>
      <c r="BN110" s="110"/>
      <c r="BO110" s="110"/>
      <c r="BP110" s="110"/>
      <c r="BQ110" s="110"/>
      <c r="BR110" s="110"/>
      <c r="BS110" s="110"/>
      <c r="BT110" s="110"/>
      <c r="BU110" s="110"/>
      <c r="BV110" s="110"/>
      <c r="BW110" s="110"/>
      <c r="BX110" s="110"/>
      <c r="BY110" s="110"/>
      <c r="BZ110" s="110"/>
      <c r="CA110" s="110"/>
      <c r="CB110" s="110"/>
      <c r="CC110" s="110"/>
    </row>
    <row r="111" spans="1:81" ht="12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0"/>
      <c r="AY111" s="110"/>
      <c r="AZ111" s="110"/>
      <c r="BA111" s="110"/>
      <c r="BB111" s="110"/>
      <c r="BC111" s="110"/>
      <c r="BD111" s="110"/>
      <c r="BE111" s="110"/>
      <c r="BF111" s="110"/>
      <c r="BG111" s="110"/>
      <c r="BH111" s="110"/>
      <c r="BI111" s="110"/>
      <c r="BJ111" s="110"/>
      <c r="BK111" s="110"/>
      <c r="BL111" s="110"/>
      <c r="BM111" s="110"/>
      <c r="BN111" s="110"/>
      <c r="BO111" s="110"/>
      <c r="BP111" s="110"/>
      <c r="BQ111" s="110"/>
      <c r="BR111" s="110"/>
      <c r="BS111" s="110"/>
      <c r="BT111" s="110"/>
      <c r="BU111" s="110"/>
      <c r="BV111" s="110"/>
      <c r="BW111" s="110"/>
      <c r="BX111" s="110"/>
      <c r="BY111" s="110"/>
      <c r="BZ111" s="110"/>
      <c r="CA111" s="110"/>
      <c r="CB111" s="110"/>
      <c r="CC111" s="110"/>
    </row>
    <row r="112" spans="1:81" ht="12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110"/>
      <c r="BC112" s="110"/>
      <c r="BD112" s="110"/>
      <c r="BE112" s="110"/>
      <c r="BF112" s="110"/>
      <c r="BG112" s="110"/>
      <c r="BH112" s="110"/>
      <c r="BI112" s="110"/>
      <c r="BJ112" s="110"/>
      <c r="BK112" s="110"/>
      <c r="BL112" s="110"/>
      <c r="BM112" s="110"/>
      <c r="BN112" s="110"/>
      <c r="BO112" s="110"/>
      <c r="BP112" s="110"/>
      <c r="BQ112" s="110"/>
      <c r="BR112" s="110"/>
      <c r="BS112" s="110"/>
      <c r="BT112" s="110"/>
      <c r="BU112" s="110"/>
      <c r="BV112" s="110"/>
      <c r="BW112" s="110"/>
      <c r="BX112" s="110"/>
      <c r="BY112" s="110"/>
      <c r="BZ112" s="110"/>
      <c r="CA112" s="110"/>
      <c r="CB112" s="110"/>
      <c r="CC112" s="110"/>
    </row>
    <row r="113" spans="1:81" ht="12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0"/>
      <c r="BK113" s="110"/>
      <c r="BL113" s="110"/>
      <c r="BM113" s="110"/>
      <c r="BN113" s="110"/>
      <c r="BO113" s="110"/>
      <c r="BP113" s="110"/>
      <c r="BQ113" s="110"/>
      <c r="BR113" s="110"/>
      <c r="BS113" s="110"/>
      <c r="BT113" s="110"/>
      <c r="BU113" s="110"/>
      <c r="BV113" s="110"/>
      <c r="BW113" s="110"/>
      <c r="BX113" s="110"/>
      <c r="BY113" s="110"/>
      <c r="BZ113" s="110"/>
      <c r="CA113" s="110"/>
      <c r="CB113" s="110"/>
      <c r="CC113" s="110"/>
    </row>
    <row r="114" spans="1:81" ht="12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  <c r="BG114" s="110"/>
      <c r="BH114" s="110"/>
      <c r="BI114" s="110"/>
      <c r="BJ114" s="110"/>
      <c r="BK114" s="110"/>
      <c r="BL114" s="110"/>
      <c r="BM114" s="110"/>
      <c r="BN114" s="110"/>
      <c r="BO114" s="110"/>
      <c r="BP114" s="110"/>
      <c r="BQ114" s="110"/>
      <c r="BR114" s="110"/>
      <c r="BS114" s="110"/>
      <c r="BT114" s="110"/>
      <c r="BU114" s="110"/>
      <c r="BV114" s="110"/>
      <c r="BW114" s="110"/>
      <c r="BX114" s="110"/>
      <c r="BY114" s="110"/>
      <c r="BZ114" s="110"/>
      <c r="CA114" s="110"/>
      <c r="CB114" s="110"/>
      <c r="CC114" s="110"/>
    </row>
    <row r="115" spans="1:81" ht="12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110"/>
      <c r="BU115" s="110"/>
      <c r="BV115" s="110"/>
      <c r="BW115" s="110"/>
      <c r="BX115" s="110"/>
      <c r="BY115" s="110"/>
      <c r="BZ115" s="110"/>
      <c r="CA115" s="110"/>
      <c r="CB115" s="110"/>
      <c r="CC115" s="110"/>
    </row>
    <row r="116" spans="1:81" ht="12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  <c r="BG116" s="110"/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110"/>
      <c r="BU116" s="110"/>
      <c r="BV116" s="110"/>
      <c r="BW116" s="110"/>
      <c r="BX116" s="110"/>
      <c r="BY116" s="110"/>
      <c r="BZ116" s="110"/>
      <c r="CA116" s="110"/>
      <c r="CB116" s="110"/>
      <c r="CC116" s="110"/>
    </row>
    <row r="117" spans="1:81" ht="12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 s="110"/>
      <c r="BH117" s="110"/>
      <c r="BI117" s="110"/>
      <c r="BJ117" s="110"/>
      <c r="BK117" s="110"/>
      <c r="BL117" s="110"/>
      <c r="BM117" s="110"/>
      <c r="BN117" s="110"/>
      <c r="BO117" s="110"/>
      <c r="BP117" s="110"/>
      <c r="BQ117" s="110"/>
      <c r="BR117" s="110"/>
      <c r="BS117" s="110"/>
      <c r="BT117" s="110"/>
      <c r="BU117" s="110"/>
      <c r="BV117" s="110"/>
      <c r="BW117" s="110"/>
      <c r="BX117" s="110"/>
      <c r="BY117" s="110"/>
      <c r="BZ117" s="110"/>
      <c r="CA117" s="110"/>
      <c r="CB117" s="110"/>
      <c r="CC117" s="110"/>
    </row>
    <row r="118" spans="1:81" ht="12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0"/>
      <c r="BR118" s="110"/>
      <c r="BS118" s="110"/>
      <c r="BT118" s="110"/>
      <c r="BU118" s="110"/>
      <c r="BV118" s="110"/>
      <c r="BW118" s="110"/>
      <c r="BX118" s="110"/>
      <c r="BY118" s="110"/>
      <c r="BZ118" s="110"/>
      <c r="CA118" s="110"/>
      <c r="CB118" s="110"/>
      <c r="CC118" s="110"/>
    </row>
    <row r="119" spans="1:81" ht="12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110"/>
      <c r="BR119" s="110"/>
      <c r="BS119" s="110"/>
      <c r="BT119" s="110"/>
      <c r="BU119" s="110"/>
      <c r="BV119" s="110"/>
      <c r="BW119" s="110"/>
      <c r="BX119" s="110"/>
      <c r="BY119" s="110"/>
      <c r="BZ119" s="110"/>
      <c r="CA119" s="110"/>
      <c r="CB119" s="110"/>
      <c r="CC119" s="110"/>
    </row>
    <row r="120" spans="1:81" ht="12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0"/>
      <c r="BK120" s="110"/>
      <c r="BL120" s="110"/>
      <c r="BM120" s="110"/>
      <c r="BN120" s="110"/>
      <c r="BO120" s="110"/>
      <c r="BP120" s="110"/>
      <c r="BQ120" s="110"/>
      <c r="BR120" s="110"/>
      <c r="BS120" s="110"/>
      <c r="BT120" s="110"/>
      <c r="BU120" s="110"/>
      <c r="BV120" s="110"/>
      <c r="BW120" s="110"/>
      <c r="BX120" s="110"/>
      <c r="BY120" s="110"/>
      <c r="BZ120" s="110"/>
      <c r="CA120" s="110"/>
      <c r="CB120" s="110"/>
      <c r="CC120" s="110"/>
    </row>
    <row r="121" spans="1:81" ht="12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0"/>
      <c r="BK121" s="110"/>
      <c r="BL121" s="110"/>
      <c r="BM121" s="110"/>
      <c r="BN121" s="110"/>
      <c r="BO121" s="110"/>
      <c r="BP121" s="110"/>
      <c r="BQ121" s="110"/>
      <c r="BR121" s="110"/>
      <c r="BS121" s="110"/>
      <c r="BT121" s="110"/>
      <c r="BU121" s="110"/>
      <c r="BV121" s="110"/>
      <c r="BW121" s="110"/>
      <c r="BX121" s="110"/>
      <c r="BY121" s="110"/>
      <c r="BZ121" s="110"/>
      <c r="CA121" s="110"/>
      <c r="CB121" s="110"/>
      <c r="CC121" s="110"/>
    </row>
    <row r="122" spans="1:81" ht="12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110"/>
      <c r="BU122" s="110"/>
      <c r="BV122" s="110"/>
      <c r="BW122" s="110"/>
      <c r="BX122" s="110"/>
      <c r="BY122" s="110"/>
      <c r="BZ122" s="110"/>
      <c r="CA122" s="110"/>
      <c r="CB122" s="110"/>
      <c r="CC122" s="110"/>
    </row>
    <row r="123" spans="1:81" ht="12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0"/>
      <c r="BR123" s="110"/>
      <c r="BS123" s="110"/>
      <c r="BT123" s="110"/>
      <c r="BU123" s="110"/>
      <c r="BV123" s="110"/>
      <c r="BW123" s="110"/>
      <c r="BX123" s="110"/>
      <c r="BY123" s="110"/>
      <c r="BZ123" s="110"/>
      <c r="CA123" s="110"/>
      <c r="CB123" s="110"/>
      <c r="CC123" s="110"/>
    </row>
    <row r="124" spans="1:81" ht="12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0"/>
      <c r="BR124" s="110"/>
      <c r="BS124" s="110"/>
      <c r="BT124" s="110"/>
      <c r="BU124" s="110"/>
      <c r="BV124" s="110"/>
      <c r="BW124" s="110"/>
      <c r="BX124" s="110"/>
      <c r="BY124" s="110"/>
      <c r="BZ124" s="110"/>
      <c r="CA124" s="110"/>
      <c r="CB124" s="110"/>
      <c r="CC124" s="110"/>
    </row>
    <row r="125" spans="1:81" ht="12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  <c r="BG125" s="110"/>
      <c r="BH125" s="110"/>
      <c r="BI125" s="110"/>
      <c r="BJ125" s="110"/>
      <c r="BK125" s="110"/>
      <c r="BL125" s="110"/>
      <c r="BM125" s="110"/>
      <c r="BN125" s="110"/>
      <c r="BO125" s="110"/>
      <c r="BP125" s="110"/>
      <c r="BQ125" s="110"/>
      <c r="BR125" s="110"/>
      <c r="BS125" s="110"/>
      <c r="BT125" s="110"/>
      <c r="BU125" s="110"/>
      <c r="BV125" s="110"/>
      <c r="BW125" s="110"/>
      <c r="BX125" s="110"/>
      <c r="BY125" s="110"/>
      <c r="BZ125" s="110"/>
      <c r="CA125" s="110"/>
      <c r="CB125" s="110"/>
      <c r="CC125" s="110"/>
    </row>
    <row r="126" spans="1:81" ht="12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  <c r="BG126" s="110"/>
      <c r="BH126" s="110"/>
      <c r="BI126" s="110"/>
      <c r="BJ126" s="110"/>
      <c r="BK126" s="110"/>
      <c r="BL126" s="110"/>
      <c r="BM126" s="110"/>
      <c r="BN126" s="110"/>
      <c r="BO126" s="110"/>
      <c r="BP126" s="110"/>
      <c r="BQ126" s="110"/>
      <c r="BR126" s="110"/>
      <c r="BS126" s="110"/>
      <c r="BT126" s="110"/>
      <c r="BU126" s="110"/>
      <c r="BV126" s="110"/>
      <c r="BW126" s="110"/>
      <c r="BX126" s="110"/>
      <c r="BY126" s="110"/>
      <c r="BZ126" s="110"/>
      <c r="CA126" s="110"/>
      <c r="CB126" s="110"/>
      <c r="CC126" s="110"/>
    </row>
    <row r="127" spans="1:81" ht="12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110"/>
      <c r="BU127" s="110"/>
      <c r="BV127" s="110"/>
      <c r="BW127" s="110"/>
      <c r="BX127" s="110"/>
      <c r="BY127" s="110"/>
      <c r="BZ127" s="110"/>
      <c r="CA127" s="110"/>
      <c r="CB127" s="110"/>
      <c r="CC127" s="110"/>
    </row>
    <row r="128" spans="1:81" ht="12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0"/>
      <c r="BK128" s="110"/>
      <c r="BL128" s="110"/>
      <c r="BM128" s="110"/>
      <c r="BN128" s="110"/>
      <c r="BO128" s="110"/>
      <c r="BP128" s="110"/>
      <c r="BQ128" s="110"/>
      <c r="BR128" s="110"/>
      <c r="BS128" s="110"/>
      <c r="BT128" s="110"/>
      <c r="BU128" s="110"/>
      <c r="BV128" s="110"/>
      <c r="BW128" s="110"/>
      <c r="BX128" s="110"/>
      <c r="BY128" s="110"/>
      <c r="BZ128" s="110"/>
      <c r="CA128" s="110"/>
      <c r="CB128" s="110"/>
      <c r="CC128" s="110"/>
    </row>
    <row r="129" spans="1:81" ht="12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110"/>
      <c r="BU129" s="110"/>
      <c r="BV129" s="110"/>
      <c r="BW129" s="110"/>
      <c r="BX129" s="110"/>
      <c r="BY129" s="110"/>
      <c r="BZ129" s="110"/>
      <c r="CA129" s="110"/>
      <c r="CB129" s="110"/>
      <c r="CC129" s="110"/>
    </row>
    <row r="130" spans="1:81" ht="12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110"/>
      <c r="BU130" s="110"/>
      <c r="BV130" s="110"/>
      <c r="BW130" s="110"/>
      <c r="BX130" s="110"/>
      <c r="BY130" s="110"/>
      <c r="BZ130" s="110"/>
      <c r="CA130" s="110"/>
      <c r="CB130" s="110"/>
      <c r="CC130" s="110"/>
    </row>
    <row r="131" spans="1:81" ht="12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0"/>
      <c r="BK131" s="110"/>
      <c r="BL131" s="110"/>
      <c r="BM131" s="110"/>
      <c r="BN131" s="110"/>
      <c r="BO131" s="110"/>
      <c r="BP131" s="110"/>
      <c r="BQ131" s="110"/>
      <c r="BR131" s="110"/>
      <c r="BS131" s="110"/>
      <c r="BT131" s="110"/>
      <c r="BU131" s="110"/>
      <c r="BV131" s="110"/>
      <c r="BW131" s="110"/>
      <c r="BX131" s="110"/>
      <c r="BY131" s="110"/>
      <c r="BZ131" s="110"/>
      <c r="CA131" s="110"/>
      <c r="CB131" s="110"/>
      <c r="CC131" s="110"/>
    </row>
    <row r="132" spans="1:81" ht="12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0"/>
      <c r="BR132" s="110"/>
      <c r="BS132" s="110"/>
      <c r="BT132" s="110"/>
      <c r="BU132" s="110"/>
      <c r="BV132" s="110"/>
      <c r="BW132" s="110"/>
      <c r="BX132" s="110"/>
      <c r="BY132" s="110"/>
      <c r="BZ132" s="110"/>
      <c r="CA132" s="110"/>
      <c r="CB132" s="110"/>
      <c r="CC132" s="110"/>
    </row>
    <row r="133" spans="1:81" ht="12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0"/>
      <c r="BK133" s="110"/>
      <c r="BL133" s="110"/>
      <c r="BM133" s="110"/>
      <c r="BN133" s="110"/>
      <c r="BO133" s="110"/>
      <c r="BP133" s="110"/>
      <c r="BQ133" s="110"/>
      <c r="BR133" s="110"/>
      <c r="BS133" s="110"/>
      <c r="BT133" s="110"/>
      <c r="BU133" s="110"/>
      <c r="BV133" s="110"/>
      <c r="BW133" s="110"/>
      <c r="BX133" s="110"/>
      <c r="BY133" s="110"/>
      <c r="BZ133" s="110"/>
      <c r="CA133" s="110"/>
      <c r="CB133" s="110"/>
      <c r="CC133" s="110"/>
    </row>
    <row r="134" spans="1:81" ht="12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0"/>
      <c r="BY134" s="110"/>
      <c r="BZ134" s="110"/>
      <c r="CA134" s="110"/>
      <c r="CB134" s="110"/>
      <c r="CC134" s="110"/>
    </row>
    <row r="135" spans="1:81" ht="12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0"/>
      <c r="BK135" s="110"/>
      <c r="BL135" s="110"/>
      <c r="BM135" s="110"/>
      <c r="BN135" s="110"/>
      <c r="BO135" s="110"/>
      <c r="BP135" s="110"/>
      <c r="BQ135" s="110"/>
      <c r="BR135" s="110"/>
      <c r="BS135" s="110"/>
      <c r="BT135" s="110"/>
      <c r="BU135" s="110"/>
      <c r="BV135" s="110"/>
      <c r="BW135" s="110"/>
      <c r="BX135" s="110"/>
      <c r="BY135" s="110"/>
      <c r="BZ135" s="110"/>
      <c r="CA135" s="110"/>
      <c r="CB135" s="110"/>
      <c r="CC135" s="110"/>
    </row>
    <row r="136" spans="1:81" ht="12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0"/>
      <c r="BK136" s="110"/>
      <c r="BL136" s="110"/>
      <c r="BM136" s="110"/>
      <c r="BN136" s="110"/>
      <c r="BO136" s="110"/>
      <c r="BP136" s="110"/>
      <c r="BQ136" s="110"/>
      <c r="BR136" s="110"/>
      <c r="BS136" s="110"/>
      <c r="BT136" s="110"/>
      <c r="BU136" s="110"/>
      <c r="BV136" s="110"/>
      <c r="BW136" s="110"/>
      <c r="BX136" s="110"/>
      <c r="BY136" s="110"/>
      <c r="BZ136" s="110"/>
      <c r="CA136" s="110"/>
      <c r="CB136" s="110"/>
      <c r="CC136" s="110"/>
    </row>
    <row r="137" spans="1:81" ht="12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  <c r="BD137" s="110"/>
      <c r="BE137" s="110"/>
      <c r="BF137" s="110"/>
      <c r="BG137" s="110"/>
      <c r="BH137" s="110"/>
      <c r="BI137" s="110"/>
      <c r="BJ137" s="110"/>
      <c r="BK137" s="110"/>
      <c r="BL137" s="110"/>
      <c r="BM137" s="110"/>
      <c r="BN137" s="110"/>
      <c r="BO137" s="110"/>
      <c r="BP137" s="110"/>
      <c r="BQ137" s="110"/>
      <c r="BR137" s="110"/>
      <c r="BS137" s="110"/>
      <c r="BT137" s="110"/>
      <c r="BU137" s="110"/>
      <c r="BV137" s="110"/>
      <c r="BW137" s="110"/>
      <c r="BX137" s="110"/>
      <c r="BY137" s="110"/>
      <c r="BZ137" s="110"/>
      <c r="CA137" s="110"/>
      <c r="CB137" s="110"/>
      <c r="CC137" s="110"/>
    </row>
    <row r="138" spans="1:81" ht="12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0"/>
      <c r="BK138" s="110"/>
      <c r="BL138" s="110"/>
      <c r="BM138" s="110"/>
      <c r="BN138" s="110"/>
      <c r="BO138" s="110"/>
      <c r="BP138" s="110"/>
      <c r="BQ138" s="110"/>
      <c r="BR138" s="110"/>
      <c r="BS138" s="110"/>
      <c r="BT138" s="110"/>
      <c r="BU138" s="110"/>
      <c r="BV138" s="110"/>
      <c r="BW138" s="110"/>
      <c r="BX138" s="110"/>
      <c r="BY138" s="110"/>
      <c r="BZ138" s="110"/>
      <c r="CA138" s="110"/>
      <c r="CB138" s="110"/>
      <c r="CC138" s="110"/>
    </row>
    <row r="139" spans="1:81" ht="12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  <c r="BS139" s="110"/>
      <c r="BT139" s="110"/>
      <c r="BU139" s="110"/>
      <c r="BV139" s="110"/>
      <c r="BW139" s="110"/>
      <c r="BX139" s="110"/>
      <c r="BY139" s="110"/>
      <c r="BZ139" s="110"/>
      <c r="CA139" s="110"/>
      <c r="CB139" s="110"/>
      <c r="CC139" s="110"/>
    </row>
    <row r="140" spans="1:81" ht="12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  <c r="BM140" s="110"/>
      <c r="BN140" s="110"/>
      <c r="BO140" s="110"/>
      <c r="BP140" s="110"/>
      <c r="BQ140" s="110"/>
      <c r="BR140" s="110"/>
      <c r="BS140" s="110"/>
      <c r="BT140" s="110"/>
      <c r="BU140" s="110"/>
      <c r="BV140" s="110"/>
      <c r="BW140" s="110"/>
      <c r="BX140" s="110"/>
      <c r="BY140" s="110"/>
      <c r="BZ140" s="110"/>
      <c r="CA140" s="110"/>
      <c r="CB140" s="110"/>
      <c r="CC140" s="110"/>
    </row>
    <row r="141" spans="1:81" ht="12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110"/>
      <c r="AX141" s="110"/>
      <c r="AY141" s="110"/>
      <c r="AZ141" s="110"/>
      <c r="BA141" s="110"/>
      <c r="BB141" s="110"/>
      <c r="BC141" s="110"/>
      <c r="BD141" s="110"/>
      <c r="BE141" s="110"/>
      <c r="BF141" s="110"/>
      <c r="BG141" s="110"/>
      <c r="BH141" s="110"/>
      <c r="BI141" s="110"/>
      <c r="BJ141" s="110"/>
      <c r="BK141" s="110"/>
      <c r="BL141" s="110"/>
      <c r="BM141" s="110"/>
      <c r="BN141" s="110"/>
      <c r="BO141" s="110"/>
      <c r="BP141" s="110"/>
      <c r="BQ141" s="110"/>
      <c r="BR141" s="110"/>
      <c r="BS141" s="110"/>
      <c r="BT141" s="110"/>
      <c r="BU141" s="110"/>
      <c r="BV141" s="110"/>
      <c r="BW141" s="110"/>
      <c r="BX141" s="110"/>
      <c r="BY141" s="110"/>
      <c r="BZ141" s="110"/>
      <c r="CA141" s="110"/>
      <c r="CB141" s="110"/>
      <c r="CC141" s="110"/>
    </row>
    <row r="142" spans="1:81" ht="12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  <c r="BD142" s="110"/>
      <c r="BE142" s="110"/>
      <c r="BF142" s="110"/>
      <c r="BG142" s="110"/>
      <c r="BH142" s="110"/>
      <c r="BI142" s="110"/>
      <c r="BJ142" s="110"/>
      <c r="BK142" s="110"/>
      <c r="BL142" s="110"/>
      <c r="BM142" s="110"/>
      <c r="BN142" s="110"/>
      <c r="BO142" s="110"/>
      <c r="BP142" s="110"/>
      <c r="BQ142" s="110"/>
      <c r="BR142" s="110"/>
      <c r="BS142" s="110"/>
      <c r="BT142" s="110"/>
      <c r="BU142" s="110"/>
      <c r="BV142" s="110"/>
      <c r="BW142" s="110"/>
      <c r="BX142" s="110"/>
      <c r="BY142" s="110"/>
      <c r="BZ142" s="110"/>
      <c r="CA142" s="110"/>
      <c r="CB142" s="110"/>
      <c r="CC142" s="110"/>
    </row>
    <row r="143" spans="1:81" ht="12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  <c r="AW143" s="110"/>
      <c r="AX143" s="110"/>
      <c r="AY143" s="110"/>
      <c r="AZ143" s="110"/>
      <c r="BA143" s="110"/>
      <c r="BB143" s="110"/>
      <c r="BC143" s="110"/>
      <c r="BD143" s="110"/>
      <c r="BE143" s="110"/>
      <c r="BF143" s="110"/>
      <c r="BG143" s="110"/>
      <c r="BH143" s="110"/>
      <c r="BI143" s="110"/>
      <c r="BJ143" s="110"/>
      <c r="BK143" s="110"/>
      <c r="BL143" s="110"/>
      <c r="BM143" s="110"/>
      <c r="BN143" s="110"/>
      <c r="BO143" s="110"/>
      <c r="BP143" s="110"/>
      <c r="BQ143" s="110"/>
      <c r="BR143" s="110"/>
      <c r="BS143" s="110"/>
      <c r="BT143" s="110"/>
      <c r="BU143" s="110"/>
      <c r="BV143" s="110"/>
      <c r="BW143" s="110"/>
      <c r="BX143" s="110"/>
      <c r="BY143" s="110"/>
      <c r="BZ143" s="110"/>
      <c r="CA143" s="110"/>
      <c r="CB143" s="110"/>
      <c r="CC143" s="110"/>
    </row>
    <row r="144" spans="1:81" ht="12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0"/>
      <c r="BA144" s="110"/>
      <c r="BB144" s="110"/>
      <c r="BC144" s="110"/>
      <c r="BD144" s="110"/>
      <c r="BE144" s="110"/>
      <c r="BF144" s="110"/>
      <c r="BG144" s="110"/>
      <c r="BH144" s="110"/>
      <c r="BI144" s="110"/>
      <c r="BJ144" s="110"/>
      <c r="BK144" s="110"/>
      <c r="BL144" s="110"/>
      <c r="BM144" s="110"/>
      <c r="BN144" s="110"/>
      <c r="BO144" s="110"/>
      <c r="BP144" s="110"/>
      <c r="BQ144" s="110"/>
      <c r="BR144" s="110"/>
      <c r="BS144" s="110"/>
      <c r="BT144" s="110"/>
      <c r="BU144" s="110"/>
      <c r="BV144" s="110"/>
      <c r="BW144" s="110"/>
      <c r="BX144" s="110"/>
      <c r="BY144" s="110"/>
      <c r="BZ144" s="110"/>
      <c r="CA144" s="110"/>
      <c r="CB144" s="110"/>
      <c r="CC144" s="110"/>
    </row>
    <row r="145" spans="1:81" ht="12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  <c r="AW145" s="110"/>
      <c r="AX145" s="110"/>
      <c r="AY145" s="110"/>
      <c r="AZ145" s="110"/>
      <c r="BA145" s="110"/>
      <c r="BB145" s="110"/>
      <c r="BC145" s="110"/>
      <c r="BD145" s="110"/>
      <c r="BE145" s="110"/>
      <c r="BF145" s="110"/>
      <c r="BG145" s="110"/>
      <c r="BH145" s="110"/>
      <c r="BI145" s="110"/>
      <c r="BJ145" s="110"/>
      <c r="BK145" s="110"/>
      <c r="BL145" s="110"/>
      <c r="BM145" s="110"/>
      <c r="BN145" s="110"/>
      <c r="BO145" s="110"/>
      <c r="BP145" s="110"/>
      <c r="BQ145" s="110"/>
      <c r="BR145" s="110"/>
      <c r="BS145" s="110"/>
      <c r="BT145" s="110"/>
      <c r="BU145" s="110"/>
      <c r="BV145" s="110"/>
      <c r="BW145" s="110"/>
      <c r="BX145" s="110"/>
      <c r="BY145" s="110"/>
      <c r="BZ145" s="110"/>
      <c r="CA145" s="110"/>
      <c r="CB145" s="110"/>
      <c r="CC145" s="110"/>
    </row>
    <row r="146" spans="1:81" ht="12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  <c r="AW146" s="110"/>
      <c r="AX146" s="110"/>
      <c r="AY146" s="110"/>
      <c r="AZ146" s="110"/>
      <c r="BA146" s="110"/>
      <c r="BB146" s="110"/>
      <c r="BC146" s="110"/>
      <c r="BD146" s="110"/>
      <c r="BE146" s="110"/>
      <c r="BF146" s="110"/>
      <c r="BG146" s="110"/>
      <c r="BH146" s="110"/>
      <c r="BI146" s="110"/>
      <c r="BJ146" s="110"/>
      <c r="BK146" s="110"/>
      <c r="BL146" s="110"/>
      <c r="BM146" s="110"/>
      <c r="BN146" s="110"/>
      <c r="BO146" s="110"/>
      <c r="BP146" s="110"/>
      <c r="BQ146" s="110"/>
      <c r="BR146" s="110"/>
      <c r="BS146" s="110"/>
      <c r="BT146" s="110"/>
      <c r="BU146" s="110"/>
      <c r="BV146" s="110"/>
      <c r="BW146" s="110"/>
      <c r="BX146" s="110"/>
      <c r="BY146" s="110"/>
      <c r="BZ146" s="110"/>
      <c r="CA146" s="110"/>
      <c r="CB146" s="110"/>
      <c r="CC146" s="110"/>
    </row>
    <row r="147" spans="1:81" ht="12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  <c r="AW147" s="110"/>
      <c r="AX147" s="110"/>
      <c r="AY147" s="110"/>
      <c r="AZ147" s="110"/>
      <c r="BA147" s="110"/>
      <c r="BB147" s="110"/>
      <c r="BC147" s="110"/>
      <c r="BD147" s="110"/>
      <c r="BE147" s="110"/>
      <c r="BF147" s="110"/>
      <c r="BG147" s="110"/>
      <c r="BH147" s="110"/>
      <c r="BI147" s="110"/>
      <c r="BJ147" s="110"/>
      <c r="BK147" s="110"/>
      <c r="BL147" s="110"/>
      <c r="BM147" s="110"/>
      <c r="BN147" s="110"/>
      <c r="BO147" s="110"/>
      <c r="BP147" s="110"/>
      <c r="BQ147" s="110"/>
      <c r="BR147" s="110"/>
      <c r="BS147" s="110"/>
      <c r="BT147" s="110"/>
      <c r="BU147" s="110"/>
      <c r="BV147" s="110"/>
      <c r="BW147" s="110"/>
      <c r="BX147" s="110"/>
      <c r="BY147" s="110"/>
      <c r="BZ147" s="110"/>
      <c r="CA147" s="110"/>
      <c r="CB147" s="110"/>
      <c r="CC147" s="110"/>
    </row>
    <row r="148" spans="1:81" ht="12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  <c r="BG148" s="110"/>
      <c r="BH148" s="110"/>
      <c r="BI148" s="110"/>
      <c r="BJ148" s="110"/>
      <c r="BK148" s="110"/>
      <c r="BL148" s="110"/>
      <c r="BM148" s="110"/>
      <c r="BN148" s="110"/>
      <c r="BO148" s="110"/>
      <c r="BP148" s="110"/>
      <c r="BQ148" s="110"/>
      <c r="BR148" s="110"/>
      <c r="BS148" s="110"/>
      <c r="BT148" s="110"/>
      <c r="BU148" s="110"/>
      <c r="BV148" s="110"/>
      <c r="BW148" s="110"/>
      <c r="BX148" s="110"/>
      <c r="BY148" s="110"/>
      <c r="BZ148" s="110"/>
      <c r="CA148" s="110"/>
      <c r="CB148" s="110"/>
      <c r="CC148" s="110"/>
    </row>
    <row r="149" spans="1:81" ht="12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0"/>
      <c r="BK149" s="110"/>
      <c r="BL149" s="110"/>
      <c r="BM149" s="110"/>
      <c r="BN149" s="110"/>
      <c r="BO149" s="110"/>
      <c r="BP149" s="110"/>
      <c r="BQ149" s="110"/>
      <c r="BR149" s="110"/>
      <c r="BS149" s="110"/>
      <c r="BT149" s="110"/>
      <c r="BU149" s="110"/>
      <c r="BV149" s="110"/>
      <c r="BW149" s="110"/>
      <c r="BX149" s="110"/>
      <c r="BY149" s="110"/>
      <c r="BZ149" s="110"/>
      <c r="CA149" s="110"/>
      <c r="CB149" s="110"/>
      <c r="CC149" s="110"/>
    </row>
    <row r="150" spans="1:81" ht="12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110"/>
      <c r="BA150" s="110"/>
      <c r="BB150" s="110"/>
      <c r="BC150" s="110"/>
      <c r="BD150" s="110"/>
      <c r="BE150" s="110"/>
      <c r="BF150" s="110"/>
      <c r="BG150" s="110"/>
      <c r="BH150" s="110"/>
      <c r="BI150" s="110"/>
      <c r="BJ150" s="110"/>
      <c r="BK150" s="110"/>
      <c r="BL150" s="110"/>
      <c r="BM150" s="110"/>
      <c r="BN150" s="110"/>
      <c r="BO150" s="110"/>
      <c r="BP150" s="110"/>
      <c r="BQ150" s="110"/>
      <c r="BR150" s="110"/>
      <c r="BS150" s="110"/>
      <c r="BT150" s="110"/>
      <c r="BU150" s="110"/>
      <c r="BV150" s="110"/>
      <c r="BW150" s="110"/>
      <c r="BX150" s="110"/>
      <c r="BY150" s="110"/>
      <c r="BZ150" s="110"/>
      <c r="CA150" s="110"/>
      <c r="CB150" s="110"/>
      <c r="CC150" s="110"/>
    </row>
    <row r="151" spans="1:81" ht="12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  <c r="AW151" s="110"/>
      <c r="AX151" s="110"/>
      <c r="AY151" s="110"/>
      <c r="AZ151" s="110"/>
      <c r="BA151" s="110"/>
      <c r="BB151" s="110"/>
      <c r="BC151" s="110"/>
      <c r="BD151" s="110"/>
      <c r="BE151" s="110"/>
      <c r="BF151" s="110"/>
      <c r="BG151" s="110"/>
      <c r="BH151" s="110"/>
      <c r="BI151" s="110"/>
      <c r="BJ151" s="110"/>
      <c r="BK151" s="110"/>
      <c r="BL151" s="110"/>
      <c r="BM151" s="110"/>
      <c r="BN151" s="110"/>
      <c r="BO151" s="110"/>
      <c r="BP151" s="110"/>
      <c r="BQ151" s="110"/>
      <c r="BR151" s="110"/>
      <c r="BS151" s="110"/>
      <c r="BT151" s="110"/>
      <c r="BU151" s="110"/>
      <c r="BV151" s="110"/>
      <c r="BW151" s="110"/>
      <c r="BX151" s="110"/>
      <c r="BY151" s="110"/>
      <c r="BZ151" s="110"/>
      <c r="CA151" s="110"/>
      <c r="CB151" s="110"/>
      <c r="CC151" s="110"/>
    </row>
    <row r="152" spans="1:81" ht="12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110"/>
      <c r="BA152" s="110"/>
      <c r="BB152" s="110"/>
      <c r="BC152" s="110"/>
      <c r="BD152" s="110"/>
      <c r="BE152" s="110"/>
      <c r="BF152" s="110"/>
      <c r="BG152" s="110"/>
      <c r="BH152" s="110"/>
      <c r="BI152" s="110"/>
      <c r="BJ152" s="110"/>
      <c r="BK152" s="110"/>
      <c r="BL152" s="110"/>
      <c r="BM152" s="110"/>
      <c r="BN152" s="110"/>
      <c r="BO152" s="110"/>
      <c r="BP152" s="110"/>
      <c r="BQ152" s="110"/>
      <c r="BR152" s="110"/>
      <c r="BS152" s="110"/>
      <c r="BT152" s="110"/>
      <c r="BU152" s="110"/>
      <c r="BV152" s="110"/>
      <c r="BW152" s="110"/>
      <c r="BX152" s="110"/>
      <c r="BY152" s="110"/>
      <c r="BZ152" s="110"/>
      <c r="CA152" s="110"/>
      <c r="CB152" s="110"/>
      <c r="CC152" s="110"/>
    </row>
    <row r="153" spans="1:81" ht="12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  <c r="AW153" s="110"/>
      <c r="AX153" s="110"/>
      <c r="AY153" s="110"/>
      <c r="AZ153" s="110"/>
      <c r="BA153" s="110"/>
      <c r="BB153" s="110"/>
      <c r="BC153" s="110"/>
      <c r="BD153" s="110"/>
      <c r="BE153" s="110"/>
      <c r="BF153" s="110"/>
      <c r="BG153" s="110"/>
      <c r="BH153" s="110"/>
      <c r="BI153" s="110"/>
      <c r="BJ153" s="110"/>
      <c r="BK153" s="110"/>
      <c r="BL153" s="110"/>
      <c r="BM153" s="110"/>
      <c r="BN153" s="110"/>
      <c r="BO153" s="110"/>
      <c r="BP153" s="110"/>
      <c r="BQ153" s="110"/>
      <c r="BR153" s="110"/>
      <c r="BS153" s="110"/>
      <c r="BT153" s="110"/>
      <c r="BU153" s="110"/>
      <c r="BV153" s="110"/>
      <c r="BW153" s="110"/>
      <c r="BX153" s="110"/>
      <c r="BY153" s="110"/>
      <c r="BZ153" s="110"/>
      <c r="CA153" s="110"/>
      <c r="CB153" s="110"/>
      <c r="CC153" s="110"/>
    </row>
    <row r="154" spans="1:81" ht="12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  <c r="BD154" s="110"/>
      <c r="BE154" s="110"/>
      <c r="BF154" s="110"/>
      <c r="BG154" s="110"/>
      <c r="BH154" s="110"/>
      <c r="BI154" s="110"/>
      <c r="BJ154" s="110"/>
      <c r="BK154" s="110"/>
      <c r="BL154" s="110"/>
      <c r="BM154" s="110"/>
      <c r="BN154" s="110"/>
      <c r="BO154" s="110"/>
      <c r="BP154" s="110"/>
      <c r="BQ154" s="110"/>
      <c r="BR154" s="110"/>
      <c r="BS154" s="110"/>
      <c r="BT154" s="110"/>
      <c r="BU154" s="110"/>
      <c r="BV154" s="110"/>
      <c r="BW154" s="110"/>
      <c r="BX154" s="110"/>
      <c r="BY154" s="110"/>
      <c r="BZ154" s="110"/>
      <c r="CA154" s="110"/>
      <c r="CB154" s="110"/>
      <c r="CC154" s="110"/>
    </row>
    <row r="155" spans="1:81" ht="12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  <c r="BG155" s="110"/>
      <c r="BH155" s="110"/>
      <c r="BI155" s="110"/>
      <c r="BJ155" s="110"/>
      <c r="BK155" s="110"/>
      <c r="BL155" s="110"/>
      <c r="BM155" s="110"/>
      <c r="BN155" s="110"/>
      <c r="BO155" s="110"/>
      <c r="BP155" s="110"/>
      <c r="BQ155" s="110"/>
      <c r="BR155" s="110"/>
      <c r="BS155" s="110"/>
      <c r="BT155" s="110"/>
      <c r="BU155" s="110"/>
      <c r="BV155" s="110"/>
      <c r="BW155" s="110"/>
      <c r="BX155" s="110"/>
      <c r="BY155" s="110"/>
      <c r="BZ155" s="110"/>
      <c r="CA155" s="110"/>
      <c r="CB155" s="110"/>
      <c r="CC155" s="110"/>
    </row>
    <row r="156" spans="1:81" ht="12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110"/>
      <c r="BA156" s="110"/>
      <c r="BB156" s="110"/>
      <c r="BC156" s="110"/>
      <c r="BD156" s="110"/>
      <c r="BE156" s="110"/>
      <c r="BF156" s="110"/>
      <c r="BG156" s="110"/>
      <c r="BH156" s="110"/>
      <c r="BI156" s="110"/>
      <c r="BJ156" s="110"/>
      <c r="BK156" s="110"/>
      <c r="BL156" s="110"/>
      <c r="BM156" s="110"/>
      <c r="BN156" s="110"/>
      <c r="BO156" s="110"/>
      <c r="BP156" s="110"/>
      <c r="BQ156" s="110"/>
      <c r="BR156" s="110"/>
      <c r="BS156" s="110"/>
      <c r="BT156" s="110"/>
      <c r="BU156" s="110"/>
      <c r="BV156" s="110"/>
      <c r="BW156" s="110"/>
      <c r="BX156" s="110"/>
      <c r="BY156" s="110"/>
      <c r="BZ156" s="110"/>
      <c r="CA156" s="110"/>
      <c r="CB156" s="110"/>
      <c r="CC156" s="110"/>
    </row>
    <row r="157" spans="1:81" ht="12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  <c r="BG157" s="110"/>
      <c r="BH157" s="110"/>
      <c r="BI157" s="110"/>
      <c r="BJ157" s="110"/>
      <c r="BK157" s="110"/>
      <c r="BL157" s="110"/>
      <c r="BM157" s="110"/>
      <c r="BN157" s="110"/>
      <c r="BO157" s="110"/>
      <c r="BP157" s="110"/>
      <c r="BQ157" s="110"/>
      <c r="BR157" s="110"/>
      <c r="BS157" s="110"/>
      <c r="BT157" s="110"/>
      <c r="BU157" s="110"/>
      <c r="BV157" s="110"/>
      <c r="BW157" s="110"/>
      <c r="BX157" s="110"/>
      <c r="BY157" s="110"/>
      <c r="BZ157" s="110"/>
      <c r="CA157" s="110"/>
      <c r="CB157" s="110"/>
      <c r="CC157" s="110"/>
    </row>
    <row r="158" spans="1:81" ht="12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110"/>
      <c r="BA158" s="110"/>
      <c r="BB158" s="110"/>
      <c r="BC158" s="110"/>
      <c r="BD158" s="110"/>
      <c r="BE158" s="110"/>
      <c r="BF158" s="110"/>
      <c r="BG158" s="110"/>
      <c r="BH158" s="110"/>
      <c r="BI158" s="110"/>
      <c r="BJ158" s="110"/>
      <c r="BK158" s="110"/>
      <c r="BL158" s="110"/>
      <c r="BM158" s="110"/>
      <c r="BN158" s="110"/>
      <c r="BO158" s="110"/>
      <c r="BP158" s="110"/>
      <c r="BQ158" s="110"/>
      <c r="BR158" s="110"/>
      <c r="BS158" s="110"/>
      <c r="BT158" s="110"/>
      <c r="BU158" s="110"/>
      <c r="BV158" s="110"/>
      <c r="BW158" s="110"/>
      <c r="BX158" s="110"/>
      <c r="BY158" s="110"/>
      <c r="BZ158" s="110"/>
      <c r="CA158" s="110"/>
      <c r="CB158" s="110"/>
      <c r="CC158" s="110"/>
    </row>
    <row r="159" spans="1:81" ht="12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  <c r="AW159" s="110"/>
      <c r="AX159" s="110"/>
      <c r="AY159" s="110"/>
      <c r="AZ159" s="110"/>
      <c r="BA159" s="110"/>
      <c r="BB159" s="110"/>
      <c r="BC159" s="110"/>
      <c r="BD159" s="110"/>
      <c r="BE159" s="110"/>
      <c r="BF159" s="110"/>
      <c r="BG159" s="110"/>
      <c r="BH159" s="110"/>
      <c r="BI159" s="110"/>
      <c r="BJ159" s="110"/>
      <c r="BK159" s="110"/>
      <c r="BL159" s="110"/>
      <c r="BM159" s="110"/>
      <c r="BN159" s="110"/>
      <c r="BO159" s="110"/>
      <c r="BP159" s="110"/>
      <c r="BQ159" s="110"/>
      <c r="BR159" s="110"/>
      <c r="BS159" s="110"/>
      <c r="BT159" s="110"/>
      <c r="BU159" s="110"/>
      <c r="BV159" s="110"/>
      <c r="BW159" s="110"/>
      <c r="BX159" s="110"/>
      <c r="BY159" s="110"/>
      <c r="BZ159" s="110"/>
      <c r="CA159" s="110"/>
      <c r="CB159" s="110"/>
      <c r="CC159" s="110"/>
    </row>
    <row r="160" spans="1:81" ht="12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  <c r="BG160" s="110"/>
      <c r="BH160" s="110"/>
      <c r="BI160" s="110"/>
      <c r="BJ160" s="110"/>
      <c r="BK160" s="110"/>
      <c r="BL160" s="110"/>
      <c r="BM160" s="110"/>
      <c r="BN160" s="110"/>
      <c r="BO160" s="110"/>
      <c r="BP160" s="110"/>
      <c r="BQ160" s="110"/>
      <c r="BR160" s="110"/>
      <c r="BS160" s="110"/>
      <c r="BT160" s="110"/>
      <c r="BU160" s="110"/>
      <c r="BV160" s="110"/>
      <c r="BW160" s="110"/>
      <c r="BX160" s="110"/>
      <c r="BY160" s="110"/>
      <c r="BZ160" s="110"/>
      <c r="CA160" s="110"/>
      <c r="CB160" s="110"/>
      <c r="CC160" s="110"/>
    </row>
    <row r="161" spans="1:81" ht="12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110"/>
      <c r="AX161" s="110"/>
      <c r="AY161" s="110"/>
      <c r="AZ161" s="110"/>
      <c r="BA161" s="110"/>
      <c r="BB161" s="110"/>
      <c r="BC161" s="110"/>
      <c r="BD161" s="110"/>
      <c r="BE161" s="110"/>
      <c r="BF161" s="110"/>
      <c r="BG161" s="110"/>
      <c r="BH161" s="110"/>
      <c r="BI161" s="110"/>
      <c r="BJ161" s="110"/>
      <c r="BK161" s="110"/>
      <c r="BL161" s="110"/>
      <c r="BM161" s="110"/>
      <c r="BN161" s="110"/>
      <c r="BO161" s="110"/>
      <c r="BP161" s="110"/>
      <c r="BQ161" s="110"/>
      <c r="BR161" s="110"/>
      <c r="BS161" s="110"/>
      <c r="BT161" s="110"/>
      <c r="BU161" s="110"/>
      <c r="BV161" s="110"/>
      <c r="BW161" s="110"/>
      <c r="BX161" s="110"/>
      <c r="BY161" s="110"/>
      <c r="BZ161" s="110"/>
      <c r="CA161" s="110"/>
      <c r="CB161" s="110"/>
      <c r="CC161" s="110"/>
    </row>
    <row r="162" spans="1:81" ht="12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110"/>
      <c r="BA162" s="110"/>
      <c r="BB162" s="110"/>
      <c r="BC162" s="110"/>
      <c r="BD162" s="110"/>
      <c r="BE162" s="110"/>
      <c r="BF162" s="110"/>
      <c r="BG162" s="110"/>
      <c r="BH162" s="110"/>
      <c r="BI162" s="110"/>
      <c r="BJ162" s="110"/>
      <c r="BK162" s="110"/>
      <c r="BL162" s="110"/>
      <c r="BM162" s="110"/>
      <c r="BN162" s="110"/>
      <c r="BO162" s="110"/>
      <c r="BP162" s="110"/>
      <c r="BQ162" s="110"/>
      <c r="BR162" s="110"/>
      <c r="BS162" s="110"/>
      <c r="BT162" s="110"/>
      <c r="BU162" s="110"/>
      <c r="BV162" s="110"/>
      <c r="BW162" s="110"/>
      <c r="BX162" s="110"/>
      <c r="BY162" s="110"/>
      <c r="BZ162" s="110"/>
      <c r="CA162" s="110"/>
      <c r="CB162" s="110"/>
      <c r="CC162" s="110"/>
    </row>
    <row r="163" spans="1:81" ht="12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10"/>
      <c r="BE163" s="110"/>
      <c r="BF163" s="110"/>
      <c r="BG163" s="110"/>
      <c r="BH163" s="110"/>
      <c r="BI163" s="110"/>
      <c r="BJ163" s="110"/>
      <c r="BK163" s="110"/>
      <c r="BL163" s="110"/>
      <c r="BM163" s="110"/>
      <c r="BN163" s="110"/>
      <c r="BO163" s="110"/>
      <c r="BP163" s="110"/>
      <c r="BQ163" s="110"/>
      <c r="BR163" s="110"/>
      <c r="BS163" s="110"/>
      <c r="BT163" s="110"/>
      <c r="BU163" s="110"/>
      <c r="BV163" s="110"/>
      <c r="BW163" s="110"/>
      <c r="BX163" s="110"/>
      <c r="BY163" s="110"/>
      <c r="BZ163" s="110"/>
      <c r="CA163" s="110"/>
      <c r="CB163" s="110"/>
      <c r="CC163" s="110"/>
    </row>
    <row r="164" spans="1:81" ht="12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110"/>
      <c r="BA164" s="110"/>
      <c r="BB164" s="110"/>
      <c r="BC164" s="110"/>
      <c r="BD164" s="110"/>
      <c r="BE164" s="110"/>
      <c r="BF164" s="110"/>
      <c r="BG164" s="110"/>
      <c r="BH164" s="110"/>
      <c r="BI164" s="110"/>
      <c r="BJ164" s="110"/>
      <c r="BK164" s="110"/>
      <c r="BL164" s="110"/>
      <c r="BM164" s="110"/>
      <c r="BN164" s="110"/>
      <c r="BO164" s="110"/>
      <c r="BP164" s="110"/>
      <c r="BQ164" s="110"/>
      <c r="BR164" s="110"/>
      <c r="BS164" s="110"/>
      <c r="BT164" s="110"/>
      <c r="BU164" s="110"/>
      <c r="BV164" s="110"/>
      <c r="BW164" s="110"/>
      <c r="BX164" s="110"/>
      <c r="BY164" s="110"/>
      <c r="BZ164" s="110"/>
      <c r="CA164" s="110"/>
      <c r="CB164" s="110"/>
      <c r="CC164" s="110"/>
    </row>
    <row r="165" spans="1:81" ht="12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110"/>
      <c r="AX165" s="110"/>
      <c r="AY165" s="110"/>
      <c r="AZ165" s="110"/>
      <c r="BA165" s="110"/>
      <c r="BB165" s="110"/>
      <c r="BC165" s="110"/>
      <c r="BD165" s="110"/>
      <c r="BE165" s="110"/>
      <c r="BF165" s="110"/>
      <c r="BG165" s="110"/>
      <c r="BH165" s="110"/>
      <c r="BI165" s="110"/>
      <c r="BJ165" s="110"/>
      <c r="BK165" s="110"/>
      <c r="BL165" s="110"/>
      <c r="BM165" s="110"/>
      <c r="BN165" s="110"/>
      <c r="BO165" s="110"/>
      <c r="BP165" s="110"/>
      <c r="BQ165" s="110"/>
      <c r="BR165" s="110"/>
      <c r="BS165" s="110"/>
      <c r="BT165" s="110"/>
      <c r="BU165" s="110"/>
      <c r="BV165" s="110"/>
      <c r="BW165" s="110"/>
      <c r="BX165" s="110"/>
      <c r="BY165" s="110"/>
      <c r="BZ165" s="110"/>
      <c r="CA165" s="110"/>
      <c r="CB165" s="110"/>
      <c r="CC165" s="110"/>
    </row>
    <row r="166" spans="1:81" ht="12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  <c r="BG166" s="110"/>
      <c r="BH166" s="110"/>
      <c r="BI166" s="110"/>
      <c r="BJ166" s="110"/>
      <c r="BK166" s="110"/>
      <c r="BL166" s="110"/>
      <c r="BM166" s="110"/>
      <c r="BN166" s="110"/>
      <c r="BO166" s="110"/>
      <c r="BP166" s="110"/>
      <c r="BQ166" s="110"/>
      <c r="BR166" s="110"/>
      <c r="BS166" s="110"/>
      <c r="BT166" s="110"/>
      <c r="BU166" s="110"/>
      <c r="BV166" s="110"/>
      <c r="BW166" s="110"/>
      <c r="BX166" s="110"/>
      <c r="BY166" s="110"/>
      <c r="BZ166" s="110"/>
      <c r="CA166" s="110"/>
      <c r="CB166" s="110"/>
      <c r="CC166" s="110"/>
    </row>
    <row r="167" spans="1:81" ht="12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  <c r="AW167" s="110"/>
      <c r="AX167" s="110"/>
      <c r="AY167" s="110"/>
      <c r="AZ167" s="110"/>
      <c r="BA167" s="110"/>
      <c r="BB167" s="110"/>
      <c r="BC167" s="110"/>
      <c r="BD167" s="110"/>
      <c r="BE167" s="110"/>
      <c r="BF167" s="110"/>
      <c r="BG167" s="110"/>
      <c r="BH167" s="110"/>
      <c r="BI167" s="110"/>
      <c r="BJ167" s="110"/>
      <c r="BK167" s="110"/>
      <c r="BL167" s="110"/>
      <c r="BM167" s="110"/>
      <c r="BN167" s="110"/>
      <c r="BO167" s="110"/>
      <c r="BP167" s="110"/>
      <c r="BQ167" s="110"/>
      <c r="BR167" s="110"/>
      <c r="BS167" s="110"/>
      <c r="BT167" s="110"/>
      <c r="BU167" s="110"/>
      <c r="BV167" s="110"/>
      <c r="BW167" s="110"/>
      <c r="BX167" s="110"/>
      <c r="BY167" s="110"/>
      <c r="BZ167" s="110"/>
      <c r="CA167" s="110"/>
      <c r="CB167" s="110"/>
      <c r="CC167" s="110"/>
    </row>
    <row r="168" spans="1:81" ht="12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  <c r="BB168" s="110"/>
      <c r="BC168" s="110"/>
      <c r="BD168" s="110"/>
      <c r="BE168" s="110"/>
      <c r="BF168" s="110"/>
      <c r="BG168" s="110"/>
      <c r="BH168" s="110"/>
      <c r="BI168" s="110"/>
      <c r="BJ168" s="110"/>
      <c r="BK168" s="110"/>
      <c r="BL168" s="110"/>
      <c r="BM168" s="110"/>
      <c r="BN168" s="110"/>
      <c r="BO168" s="110"/>
      <c r="BP168" s="110"/>
      <c r="BQ168" s="110"/>
      <c r="BR168" s="110"/>
      <c r="BS168" s="110"/>
      <c r="BT168" s="110"/>
      <c r="BU168" s="110"/>
      <c r="BV168" s="110"/>
      <c r="BW168" s="110"/>
      <c r="BX168" s="110"/>
      <c r="BY168" s="110"/>
      <c r="BZ168" s="110"/>
      <c r="CA168" s="110"/>
      <c r="CB168" s="110"/>
      <c r="CC168" s="110"/>
    </row>
    <row r="169" spans="1:81" ht="12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  <c r="AW169" s="110"/>
      <c r="AX169" s="110"/>
      <c r="AY169" s="110"/>
      <c r="AZ169" s="110"/>
      <c r="BA169" s="110"/>
      <c r="BB169" s="110"/>
      <c r="BC169" s="110"/>
      <c r="BD169" s="110"/>
      <c r="BE169" s="110"/>
      <c r="BF169" s="110"/>
      <c r="BG169" s="110"/>
      <c r="BH169" s="110"/>
      <c r="BI169" s="110"/>
      <c r="BJ169" s="110"/>
      <c r="BK169" s="110"/>
      <c r="BL169" s="110"/>
      <c r="BM169" s="110"/>
      <c r="BN169" s="110"/>
      <c r="BO169" s="110"/>
      <c r="BP169" s="110"/>
      <c r="BQ169" s="110"/>
      <c r="BR169" s="110"/>
      <c r="BS169" s="110"/>
      <c r="BT169" s="110"/>
      <c r="BU169" s="110"/>
      <c r="BV169" s="110"/>
      <c r="BW169" s="110"/>
      <c r="BX169" s="110"/>
      <c r="BY169" s="110"/>
      <c r="BZ169" s="110"/>
      <c r="CA169" s="110"/>
      <c r="CB169" s="110"/>
      <c r="CC169" s="110"/>
    </row>
    <row r="170" spans="1:81" ht="12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0"/>
      <c r="BG170" s="110"/>
      <c r="BH170" s="110"/>
      <c r="BI170" s="110"/>
      <c r="BJ170" s="110"/>
      <c r="BK170" s="110"/>
      <c r="BL170" s="110"/>
      <c r="BM170" s="110"/>
      <c r="BN170" s="110"/>
      <c r="BO170" s="110"/>
      <c r="BP170" s="110"/>
      <c r="BQ170" s="110"/>
      <c r="BR170" s="110"/>
      <c r="BS170" s="110"/>
      <c r="BT170" s="110"/>
      <c r="BU170" s="110"/>
      <c r="BV170" s="110"/>
      <c r="BW170" s="110"/>
      <c r="BX170" s="110"/>
      <c r="BY170" s="110"/>
      <c r="BZ170" s="110"/>
      <c r="CA170" s="110"/>
      <c r="CB170" s="110"/>
      <c r="CC170" s="110"/>
    </row>
    <row r="171" spans="1:81" ht="12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110"/>
      <c r="AX171" s="110"/>
      <c r="AY171" s="110"/>
      <c r="AZ171" s="110"/>
      <c r="BA171" s="110"/>
      <c r="BB171" s="110"/>
      <c r="BC171" s="110"/>
      <c r="BD171" s="110"/>
      <c r="BE171" s="110"/>
      <c r="BF171" s="110"/>
      <c r="BG171" s="110"/>
      <c r="BH171" s="110"/>
      <c r="BI171" s="110"/>
      <c r="BJ171" s="110"/>
      <c r="BK171" s="110"/>
      <c r="BL171" s="110"/>
      <c r="BM171" s="110"/>
      <c r="BN171" s="110"/>
      <c r="BO171" s="110"/>
      <c r="BP171" s="110"/>
      <c r="BQ171" s="110"/>
      <c r="BR171" s="110"/>
      <c r="BS171" s="110"/>
      <c r="BT171" s="110"/>
      <c r="BU171" s="110"/>
      <c r="BV171" s="110"/>
      <c r="BW171" s="110"/>
      <c r="BX171" s="110"/>
      <c r="BY171" s="110"/>
      <c r="BZ171" s="110"/>
      <c r="CA171" s="110"/>
      <c r="CB171" s="110"/>
      <c r="CC171" s="110"/>
    </row>
    <row r="172" spans="1:81" ht="12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0"/>
      <c r="BG172" s="110"/>
      <c r="BH172" s="110"/>
      <c r="BI172" s="110"/>
      <c r="BJ172" s="110"/>
      <c r="BK172" s="110"/>
      <c r="BL172" s="110"/>
      <c r="BM172" s="110"/>
      <c r="BN172" s="110"/>
      <c r="BO172" s="110"/>
      <c r="BP172" s="110"/>
      <c r="BQ172" s="110"/>
      <c r="BR172" s="110"/>
      <c r="BS172" s="110"/>
      <c r="BT172" s="110"/>
      <c r="BU172" s="110"/>
      <c r="BV172" s="110"/>
      <c r="BW172" s="110"/>
      <c r="BX172" s="110"/>
      <c r="BY172" s="110"/>
      <c r="BZ172" s="110"/>
      <c r="CA172" s="110"/>
      <c r="CB172" s="110"/>
      <c r="CC172" s="110"/>
    </row>
    <row r="173" spans="1:81" ht="12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110"/>
      <c r="AX173" s="110"/>
      <c r="AY173" s="110"/>
      <c r="AZ173" s="110"/>
      <c r="BA173" s="110"/>
      <c r="BB173" s="110"/>
      <c r="BC173" s="110"/>
      <c r="BD173" s="110"/>
      <c r="BE173" s="110"/>
      <c r="BF173" s="110"/>
      <c r="BG173" s="110"/>
      <c r="BH173" s="110"/>
      <c r="BI173" s="110"/>
      <c r="BJ173" s="110"/>
      <c r="BK173" s="110"/>
      <c r="BL173" s="110"/>
      <c r="BM173" s="110"/>
      <c r="BN173" s="110"/>
      <c r="BO173" s="110"/>
      <c r="BP173" s="110"/>
      <c r="BQ173" s="110"/>
      <c r="BR173" s="110"/>
      <c r="BS173" s="110"/>
      <c r="BT173" s="110"/>
      <c r="BU173" s="110"/>
      <c r="BV173" s="110"/>
      <c r="BW173" s="110"/>
      <c r="BX173" s="110"/>
      <c r="BY173" s="110"/>
      <c r="BZ173" s="110"/>
      <c r="CA173" s="110"/>
      <c r="CB173" s="110"/>
      <c r="CC173" s="110"/>
    </row>
    <row r="174" spans="1:81" ht="12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  <c r="BG174" s="110"/>
      <c r="BH174" s="110"/>
      <c r="BI174" s="110"/>
      <c r="BJ174" s="110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110"/>
      <c r="BU174" s="110"/>
      <c r="BV174" s="110"/>
      <c r="BW174" s="110"/>
      <c r="BX174" s="110"/>
      <c r="BY174" s="110"/>
      <c r="BZ174" s="110"/>
      <c r="CA174" s="110"/>
      <c r="CB174" s="110"/>
      <c r="CC174" s="110"/>
    </row>
    <row r="175" spans="1:81" ht="12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  <c r="BG175" s="110"/>
      <c r="BH175" s="110"/>
      <c r="BI175" s="110"/>
      <c r="BJ175" s="110"/>
      <c r="BK175" s="110"/>
      <c r="BL175" s="110"/>
      <c r="BM175" s="110"/>
      <c r="BN175" s="110"/>
      <c r="BO175" s="110"/>
      <c r="BP175" s="110"/>
      <c r="BQ175" s="110"/>
      <c r="BR175" s="110"/>
      <c r="BS175" s="110"/>
      <c r="BT175" s="110"/>
      <c r="BU175" s="110"/>
      <c r="BV175" s="110"/>
      <c r="BW175" s="110"/>
      <c r="BX175" s="110"/>
      <c r="BY175" s="110"/>
      <c r="BZ175" s="110"/>
      <c r="CA175" s="110"/>
      <c r="CB175" s="110"/>
      <c r="CC175" s="110"/>
    </row>
    <row r="176" spans="1:81" ht="12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  <c r="BG176" s="110"/>
      <c r="BH176" s="110"/>
      <c r="BI176" s="110"/>
      <c r="BJ176" s="110"/>
      <c r="BK176" s="110"/>
      <c r="BL176" s="110"/>
      <c r="BM176" s="110"/>
      <c r="BN176" s="110"/>
      <c r="BO176" s="110"/>
      <c r="BP176" s="110"/>
      <c r="BQ176" s="110"/>
      <c r="BR176" s="110"/>
      <c r="BS176" s="110"/>
      <c r="BT176" s="110"/>
      <c r="BU176" s="110"/>
      <c r="BV176" s="110"/>
      <c r="BW176" s="110"/>
      <c r="BX176" s="110"/>
      <c r="BY176" s="110"/>
      <c r="BZ176" s="110"/>
      <c r="CA176" s="110"/>
      <c r="CB176" s="110"/>
      <c r="CC176" s="110"/>
    </row>
    <row r="177" spans="1:81" ht="12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0"/>
      <c r="BN177" s="110"/>
      <c r="BO177" s="110"/>
      <c r="BP177" s="110"/>
      <c r="BQ177" s="110"/>
      <c r="BR177" s="110"/>
      <c r="BS177" s="110"/>
      <c r="BT177" s="110"/>
      <c r="BU177" s="110"/>
      <c r="BV177" s="110"/>
      <c r="BW177" s="110"/>
      <c r="BX177" s="110"/>
      <c r="BY177" s="110"/>
      <c r="BZ177" s="110"/>
      <c r="CA177" s="110"/>
      <c r="CB177" s="110"/>
      <c r="CC177" s="110"/>
    </row>
    <row r="178" spans="1:81" ht="12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  <c r="BG178" s="110"/>
      <c r="BH178" s="110"/>
      <c r="BI178" s="110"/>
      <c r="BJ178" s="110"/>
      <c r="BK178" s="110"/>
      <c r="BL178" s="110"/>
      <c r="BM178" s="110"/>
      <c r="BN178" s="110"/>
      <c r="BO178" s="110"/>
      <c r="BP178" s="110"/>
      <c r="BQ178" s="110"/>
      <c r="BR178" s="110"/>
      <c r="BS178" s="110"/>
      <c r="BT178" s="110"/>
      <c r="BU178" s="110"/>
      <c r="BV178" s="110"/>
      <c r="BW178" s="110"/>
      <c r="BX178" s="110"/>
      <c r="BY178" s="110"/>
      <c r="BZ178" s="110"/>
      <c r="CA178" s="110"/>
      <c r="CB178" s="110"/>
      <c r="CC178" s="110"/>
    </row>
    <row r="179" spans="1:81" ht="12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  <c r="AW179" s="110"/>
      <c r="AX179" s="110"/>
      <c r="AY179" s="110"/>
      <c r="AZ179" s="110"/>
      <c r="BA179" s="110"/>
      <c r="BB179" s="110"/>
      <c r="BC179" s="110"/>
      <c r="BD179" s="110"/>
      <c r="BE179" s="110"/>
      <c r="BF179" s="110"/>
      <c r="BG179" s="110"/>
      <c r="BH179" s="110"/>
      <c r="BI179" s="110"/>
      <c r="BJ179" s="110"/>
      <c r="BK179" s="110"/>
      <c r="BL179" s="110"/>
      <c r="BM179" s="110"/>
      <c r="BN179" s="110"/>
      <c r="BO179" s="110"/>
      <c r="BP179" s="110"/>
      <c r="BQ179" s="110"/>
      <c r="BR179" s="110"/>
      <c r="BS179" s="110"/>
      <c r="BT179" s="110"/>
      <c r="BU179" s="110"/>
      <c r="BV179" s="110"/>
      <c r="BW179" s="110"/>
      <c r="BX179" s="110"/>
      <c r="BY179" s="110"/>
      <c r="BZ179" s="110"/>
      <c r="CA179" s="110"/>
      <c r="CB179" s="110"/>
      <c r="CC179" s="110"/>
    </row>
    <row r="180" spans="1:81" ht="12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  <c r="BG180" s="110"/>
      <c r="BH180" s="110"/>
      <c r="BI180" s="110"/>
      <c r="BJ180" s="110"/>
      <c r="BK180" s="110"/>
      <c r="BL180" s="110"/>
      <c r="BM180" s="110"/>
      <c r="BN180" s="110"/>
      <c r="BO180" s="110"/>
      <c r="BP180" s="110"/>
      <c r="BQ180" s="110"/>
      <c r="BR180" s="110"/>
      <c r="BS180" s="110"/>
      <c r="BT180" s="110"/>
      <c r="BU180" s="110"/>
      <c r="BV180" s="110"/>
      <c r="BW180" s="110"/>
      <c r="BX180" s="110"/>
      <c r="BY180" s="110"/>
      <c r="BZ180" s="110"/>
      <c r="CA180" s="110"/>
      <c r="CB180" s="110"/>
      <c r="CC180" s="110"/>
    </row>
    <row r="181" spans="1:81" ht="12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  <c r="AW181" s="110"/>
      <c r="AX181" s="110"/>
      <c r="AY181" s="110"/>
      <c r="AZ181" s="110"/>
      <c r="BA181" s="110"/>
      <c r="BB181" s="110"/>
      <c r="BC181" s="110"/>
      <c r="BD181" s="110"/>
      <c r="BE181" s="110"/>
      <c r="BF181" s="110"/>
      <c r="BG181" s="110"/>
      <c r="BH181" s="110"/>
      <c r="BI181" s="110"/>
      <c r="BJ181" s="110"/>
      <c r="BK181" s="110"/>
      <c r="BL181" s="110"/>
      <c r="BM181" s="110"/>
      <c r="BN181" s="110"/>
      <c r="BO181" s="110"/>
      <c r="BP181" s="110"/>
      <c r="BQ181" s="110"/>
      <c r="BR181" s="110"/>
      <c r="BS181" s="110"/>
      <c r="BT181" s="110"/>
      <c r="BU181" s="110"/>
      <c r="BV181" s="110"/>
      <c r="BW181" s="110"/>
      <c r="BX181" s="110"/>
      <c r="BY181" s="110"/>
      <c r="BZ181" s="110"/>
      <c r="CA181" s="110"/>
      <c r="CB181" s="110"/>
      <c r="CC181" s="110"/>
    </row>
    <row r="182" spans="1:81" ht="12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E182" s="110"/>
      <c r="BF182" s="110"/>
      <c r="BG182" s="110"/>
      <c r="BH182" s="110"/>
      <c r="BI182" s="110"/>
      <c r="BJ182" s="110"/>
      <c r="BK182" s="110"/>
      <c r="BL182" s="110"/>
      <c r="BM182" s="110"/>
      <c r="BN182" s="110"/>
      <c r="BO182" s="110"/>
      <c r="BP182" s="110"/>
      <c r="BQ182" s="110"/>
      <c r="BR182" s="110"/>
      <c r="BS182" s="110"/>
      <c r="BT182" s="110"/>
      <c r="BU182" s="110"/>
      <c r="BV182" s="110"/>
      <c r="BW182" s="110"/>
      <c r="BX182" s="110"/>
      <c r="BY182" s="110"/>
      <c r="BZ182" s="110"/>
      <c r="CA182" s="110"/>
      <c r="CB182" s="110"/>
      <c r="CC182" s="110"/>
    </row>
    <row r="183" spans="1:81" ht="12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  <c r="AW183" s="110"/>
      <c r="AX183" s="110"/>
      <c r="AY183" s="110"/>
      <c r="AZ183" s="110"/>
      <c r="BA183" s="110"/>
      <c r="BB183" s="110"/>
      <c r="BC183" s="110"/>
      <c r="BD183" s="110"/>
      <c r="BE183" s="110"/>
      <c r="BF183" s="110"/>
      <c r="BG183" s="110"/>
      <c r="BH183" s="110"/>
      <c r="BI183" s="110"/>
      <c r="BJ183" s="110"/>
      <c r="BK183" s="110"/>
      <c r="BL183" s="110"/>
      <c r="BM183" s="110"/>
      <c r="BN183" s="110"/>
      <c r="BO183" s="110"/>
      <c r="BP183" s="110"/>
      <c r="BQ183" s="110"/>
      <c r="BR183" s="110"/>
      <c r="BS183" s="110"/>
      <c r="BT183" s="110"/>
      <c r="BU183" s="110"/>
      <c r="BV183" s="110"/>
      <c r="BW183" s="110"/>
      <c r="BX183" s="110"/>
      <c r="BY183" s="110"/>
      <c r="BZ183" s="110"/>
      <c r="CA183" s="110"/>
      <c r="CB183" s="110"/>
      <c r="CC183" s="110"/>
    </row>
    <row r="184" spans="1:81" ht="12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  <c r="AW184" s="110"/>
      <c r="AX184" s="110"/>
      <c r="AY184" s="110"/>
      <c r="AZ184" s="110"/>
      <c r="BA184" s="110"/>
      <c r="BB184" s="110"/>
      <c r="BC184" s="110"/>
      <c r="BD184" s="110"/>
      <c r="BE184" s="110"/>
      <c r="BF184" s="110"/>
      <c r="BG184" s="110"/>
      <c r="BH184" s="110"/>
      <c r="BI184" s="110"/>
      <c r="BJ184" s="110"/>
      <c r="BK184" s="110"/>
      <c r="BL184" s="110"/>
      <c r="BM184" s="110"/>
      <c r="BN184" s="110"/>
      <c r="BO184" s="110"/>
      <c r="BP184" s="110"/>
      <c r="BQ184" s="110"/>
      <c r="BR184" s="110"/>
      <c r="BS184" s="110"/>
      <c r="BT184" s="110"/>
      <c r="BU184" s="110"/>
      <c r="BV184" s="110"/>
      <c r="BW184" s="110"/>
      <c r="BX184" s="110"/>
      <c r="BY184" s="110"/>
      <c r="BZ184" s="110"/>
      <c r="CA184" s="110"/>
      <c r="CB184" s="110"/>
      <c r="CC184" s="110"/>
    </row>
    <row r="185" spans="1:81" ht="12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  <c r="BG185" s="110"/>
      <c r="BH185" s="110"/>
      <c r="BI185" s="110"/>
      <c r="BJ185" s="110"/>
      <c r="BK185" s="110"/>
      <c r="BL185" s="110"/>
      <c r="BM185" s="110"/>
      <c r="BN185" s="110"/>
      <c r="BO185" s="110"/>
      <c r="BP185" s="110"/>
      <c r="BQ185" s="110"/>
      <c r="BR185" s="110"/>
      <c r="BS185" s="110"/>
      <c r="BT185" s="110"/>
      <c r="BU185" s="110"/>
      <c r="BV185" s="110"/>
      <c r="BW185" s="110"/>
      <c r="BX185" s="110"/>
      <c r="BY185" s="110"/>
      <c r="BZ185" s="110"/>
      <c r="CA185" s="110"/>
      <c r="CB185" s="110"/>
      <c r="CC185" s="110"/>
    </row>
    <row r="186" spans="1:81" ht="12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  <c r="BB186" s="110"/>
      <c r="BC186" s="110"/>
      <c r="BD186" s="110"/>
      <c r="BE186" s="110"/>
      <c r="BF186" s="110"/>
      <c r="BG186" s="110"/>
      <c r="BH186" s="110"/>
      <c r="BI186" s="110"/>
      <c r="BJ186" s="110"/>
      <c r="BK186" s="110"/>
      <c r="BL186" s="110"/>
      <c r="BM186" s="110"/>
      <c r="BN186" s="110"/>
      <c r="BO186" s="110"/>
      <c r="BP186" s="110"/>
      <c r="BQ186" s="110"/>
      <c r="BR186" s="110"/>
      <c r="BS186" s="110"/>
      <c r="BT186" s="110"/>
      <c r="BU186" s="110"/>
      <c r="BV186" s="110"/>
      <c r="BW186" s="110"/>
      <c r="BX186" s="110"/>
      <c r="BY186" s="110"/>
      <c r="BZ186" s="110"/>
      <c r="CA186" s="110"/>
      <c r="CB186" s="110"/>
      <c r="CC186" s="110"/>
    </row>
    <row r="187" spans="1:81" ht="12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  <c r="AW187" s="110"/>
      <c r="AX187" s="110"/>
      <c r="AY187" s="110"/>
      <c r="AZ187" s="110"/>
      <c r="BA187" s="110"/>
      <c r="BB187" s="110"/>
      <c r="BC187" s="110"/>
      <c r="BD187" s="110"/>
      <c r="BE187" s="110"/>
      <c r="BF187" s="110"/>
      <c r="BG187" s="110"/>
      <c r="BH187" s="110"/>
      <c r="BI187" s="110"/>
      <c r="BJ187" s="110"/>
      <c r="BK187" s="110"/>
      <c r="BL187" s="110"/>
      <c r="BM187" s="110"/>
      <c r="BN187" s="110"/>
      <c r="BO187" s="110"/>
      <c r="BP187" s="110"/>
      <c r="BQ187" s="110"/>
      <c r="BR187" s="110"/>
      <c r="BS187" s="110"/>
      <c r="BT187" s="110"/>
      <c r="BU187" s="110"/>
      <c r="BV187" s="110"/>
      <c r="BW187" s="110"/>
      <c r="BX187" s="110"/>
      <c r="BY187" s="110"/>
      <c r="BZ187" s="110"/>
      <c r="CA187" s="110"/>
      <c r="CB187" s="110"/>
      <c r="CC187" s="110"/>
    </row>
    <row r="188" spans="1:81" ht="12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  <c r="AW188" s="110"/>
      <c r="AX188" s="110"/>
      <c r="AY188" s="110"/>
      <c r="AZ188" s="110"/>
      <c r="BA188" s="110"/>
      <c r="BB188" s="110"/>
      <c r="BC188" s="110"/>
      <c r="BD188" s="110"/>
      <c r="BE188" s="110"/>
      <c r="BF188" s="110"/>
      <c r="BG188" s="110"/>
      <c r="BH188" s="110"/>
      <c r="BI188" s="110"/>
      <c r="BJ188" s="110"/>
      <c r="BK188" s="110"/>
      <c r="BL188" s="110"/>
      <c r="BM188" s="110"/>
      <c r="BN188" s="110"/>
      <c r="BO188" s="110"/>
      <c r="BP188" s="110"/>
      <c r="BQ188" s="110"/>
      <c r="BR188" s="110"/>
      <c r="BS188" s="110"/>
      <c r="BT188" s="110"/>
      <c r="BU188" s="110"/>
      <c r="BV188" s="110"/>
      <c r="BW188" s="110"/>
      <c r="BX188" s="110"/>
      <c r="BY188" s="110"/>
      <c r="BZ188" s="110"/>
      <c r="CA188" s="110"/>
      <c r="CB188" s="110"/>
      <c r="CC188" s="110"/>
    </row>
    <row r="189" spans="1:81" ht="12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  <c r="AW189" s="110"/>
      <c r="AX189" s="110"/>
      <c r="AY189" s="110"/>
      <c r="AZ189" s="110"/>
      <c r="BA189" s="110"/>
      <c r="BB189" s="110"/>
      <c r="BC189" s="110"/>
      <c r="BD189" s="110"/>
      <c r="BE189" s="110"/>
      <c r="BF189" s="110"/>
      <c r="BG189" s="110"/>
      <c r="BH189" s="110"/>
      <c r="BI189" s="110"/>
      <c r="BJ189" s="110"/>
      <c r="BK189" s="110"/>
      <c r="BL189" s="110"/>
      <c r="BM189" s="110"/>
      <c r="BN189" s="110"/>
      <c r="BO189" s="110"/>
      <c r="BP189" s="110"/>
      <c r="BQ189" s="110"/>
      <c r="BR189" s="110"/>
      <c r="BS189" s="110"/>
      <c r="BT189" s="110"/>
      <c r="BU189" s="110"/>
      <c r="BV189" s="110"/>
      <c r="BW189" s="110"/>
      <c r="BX189" s="110"/>
      <c r="BY189" s="110"/>
      <c r="BZ189" s="110"/>
      <c r="CA189" s="110"/>
      <c r="CB189" s="110"/>
      <c r="CC189" s="110"/>
    </row>
    <row r="190" spans="1:81" ht="12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  <c r="BG190" s="110"/>
      <c r="BH190" s="110"/>
      <c r="BI190" s="110"/>
      <c r="BJ190" s="110"/>
      <c r="BK190" s="110"/>
      <c r="BL190" s="110"/>
      <c r="BM190" s="110"/>
      <c r="BN190" s="110"/>
      <c r="BO190" s="110"/>
      <c r="BP190" s="110"/>
      <c r="BQ190" s="110"/>
      <c r="BR190" s="110"/>
      <c r="BS190" s="110"/>
      <c r="BT190" s="110"/>
      <c r="BU190" s="110"/>
      <c r="BV190" s="110"/>
      <c r="BW190" s="110"/>
      <c r="BX190" s="110"/>
      <c r="BY190" s="110"/>
      <c r="BZ190" s="110"/>
      <c r="CA190" s="110"/>
      <c r="CB190" s="110"/>
      <c r="CC190" s="110"/>
    </row>
    <row r="191" spans="1:81" ht="12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  <c r="AW191" s="110"/>
      <c r="AX191" s="110"/>
      <c r="AY191" s="110"/>
      <c r="AZ191" s="110"/>
      <c r="BA191" s="110"/>
      <c r="BB191" s="110"/>
      <c r="BC191" s="110"/>
      <c r="BD191" s="110"/>
      <c r="BE191" s="110"/>
      <c r="BF191" s="110"/>
      <c r="BG191" s="110"/>
      <c r="BH191" s="110"/>
      <c r="BI191" s="110"/>
      <c r="BJ191" s="110"/>
      <c r="BK191" s="110"/>
      <c r="BL191" s="110"/>
      <c r="BM191" s="110"/>
      <c r="BN191" s="110"/>
      <c r="BO191" s="110"/>
      <c r="BP191" s="110"/>
      <c r="BQ191" s="110"/>
      <c r="BR191" s="110"/>
      <c r="BS191" s="110"/>
      <c r="BT191" s="110"/>
      <c r="BU191" s="110"/>
      <c r="BV191" s="110"/>
      <c r="BW191" s="110"/>
      <c r="BX191" s="110"/>
      <c r="BY191" s="110"/>
      <c r="BZ191" s="110"/>
      <c r="CA191" s="110"/>
      <c r="CB191" s="110"/>
      <c r="CC191" s="110"/>
    </row>
    <row r="192" spans="1:81" ht="12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  <c r="AW192" s="110"/>
      <c r="AX192" s="110"/>
      <c r="AY192" s="110"/>
      <c r="AZ192" s="110"/>
      <c r="BA192" s="110"/>
      <c r="BB192" s="110"/>
      <c r="BC192" s="110"/>
      <c r="BD192" s="110"/>
      <c r="BE192" s="110"/>
      <c r="BF192" s="110"/>
      <c r="BG192" s="110"/>
      <c r="BH192" s="110"/>
      <c r="BI192" s="110"/>
      <c r="BJ192" s="110"/>
      <c r="BK192" s="110"/>
      <c r="BL192" s="110"/>
      <c r="BM192" s="110"/>
      <c r="BN192" s="110"/>
      <c r="BO192" s="110"/>
      <c r="BP192" s="110"/>
      <c r="BQ192" s="110"/>
      <c r="BR192" s="110"/>
      <c r="BS192" s="110"/>
      <c r="BT192" s="110"/>
      <c r="BU192" s="110"/>
      <c r="BV192" s="110"/>
      <c r="BW192" s="110"/>
      <c r="BX192" s="110"/>
      <c r="BY192" s="110"/>
      <c r="BZ192" s="110"/>
      <c r="CA192" s="110"/>
      <c r="CB192" s="110"/>
      <c r="CC192" s="110"/>
    </row>
    <row r="193" spans="1:81" ht="12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  <c r="BG193" s="110"/>
      <c r="BH193" s="110"/>
      <c r="BI193" s="110"/>
      <c r="BJ193" s="110"/>
      <c r="BK193" s="110"/>
      <c r="BL193" s="110"/>
      <c r="BM193" s="110"/>
      <c r="BN193" s="110"/>
      <c r="BO193" s="110"/>
      <c r="BP193" s="110"/>
      <c r="BQ193" s="110"/>
      <c r="BR193" s="110"/>
      <c r="BS193" s="110"/>
      <c r="BT193" s="110"/>
      <c r="BU193" s="110"/>
      <c r="BV193" s="110"/>
      <c r="BW193" s="110"/>
      <c r="BX193" s="110"/>
      <c r="BY193" s="110"/>
      <c r="BZ193" s="110"/>
      <c r="CA193" s="110"/>
      <c r="CB193" s="110"/>
      <c r="CC193" s="110"/>
    </row>
    <row r="194" spans="1:81" ht="12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  <c r="AW194" s="110"/>
      <c r="AX194" s="110"/>
      <c r="AY194" s="110"/>
      <c r="AZ194" s="110"/>
      <c r="BA194" s="110"/>
      <c r="BB194" s="110"/>
      <c r="BC194" s="110"/>
      <c r="BD194" s="110"/>
      <c r="BE194" s="110"/>
      <c r="BF194" s="110"/>
      <c r="BG194" s="110"/>
      <c r="BH194" s="110"/>
      <c r="BI194" s="110"/>
      <c r="BJ194" s="110"/>
      <c r="BK194" s="110"/>
      <c r="BL194" s="110"/>
      <c r="BM194" s="110"/>
      <c r="BN194" s="110"/>
      <c r="BO194" s="110"/>
      <c r="BP194" s="110"/>
      <c r="BQ194" s="110"/>
      <c r="BR194" s="110"/>
      <c r="BS194" s="110"/>
      <c r="BT194" s="110"/>
      <c r="BU194" s="110"/>
      <c r="BV194" s="110"/>
      <c r="BW194" s="110"/>
      <c r="BX194" s="110"/>
      <c r="BY194" s="110"/>
      <c r="BZ194" s="110"/>
      <c r="CA194" s="110"/>
      <c r="CB194" s="110"/>
      <c r="CC194" s="110"/>
    </row>
    <row r="195" spans="1:81" ht="12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  <c r="AV195" s="110"/>
      <c r="AW195" s="110"/>
      <c r="AX195" s="110"/>
      <c r="AY195" s="110"/>
      <c r="AZ195" s="110"/>
      <c r="BA195" s="110"/>
      <c r="BB195" s="110"/>
      <c r="BC195" s="110"/>
      <c r="BD195" s="110"/>
      <c r="BE195" s="110"/>
      <c r="BF195" s="110"/>
      <c r="BG195" s="110"/>
      <c r="BH195" s="110"/>
      <c r="BI195" s="110"/>
      <c r="BJ195" s="110"/>
      <c r="BK195" s="110"/>
      <c r="BL195" s="110"/>
      <c r="BM195" s="110"/>
      <c r="BN195" s="110"/>
      <c r="BO195" s="110"/>
      <c r="BP195" s="110"/>
      <c r="BQ195" s="110"/>
      <c r="BR195" s="110"/>
      <c r="BS195" s="110"/>
      <c r="BT195" s="110"/>
      <c r="BU195" s="110"/>
      <c r="BV195" s="110"/>
      <c r="BW195" s="110"/>
      <c r="BX195" s="110"/>
      <c r="BY195" s="110"/>
      <c r="BZ195" s="110"/>
      <c r="CA195" s="110"/>
      <c r="CB195" s="110"/>
      <c r="CC195" s="110"/>
    </row>
    <row r="196" spans="1:81" ht="12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  <c r="AV196" s="110"/>
      <c r="AW196" s="110"/>
      <c r="AX196" s="110"/>
      <c r="AY196" s="110"/>
      <c r="AZ196" s="110"/>
      <c r="BA196" s="110"/>
      <c r="BB196" s="110"/>
      <c r="BC196" s="110"/>
      <c r="BD196" s="110"/>
      <c r="BE196" s="110"/>
      <c r="BF196" s="110"/>
      <c r="BG196" s="110"/>
      <c r="BH196" s="110"/>
      <c r="BI196" s="110"/>
      <c r="BJ196" s="110"/>
      <c r="BK196" s="110"/>
      <c r="BL196" s="110"/>
      <c r="BM196" s="110"/>
      <c r="BN196" s="110"/>
      <c r="BO196" s="110"/>
      <c r="BP196" s="110"/>
      <c r="BQ196" s="110"/>
      <c r="BR196" s="110"/>
      <c r="BS196" s="110"/>
      <c r="BT196" s="110"/>
      <c r="BU196" s="110"/>
      <c r="BV196" s="110"/>
      <c r="BW196" s="110"/>
      <c r="BX196" s="110"/>
      <c r="BY196" s="110"/>
      <c r="BZ196" s="110"/>
      <c r="CA196" s="110"/>
      <c r="CB196" s="110"/>
      <c r="CC196" s="110"/>
    </row>
    <row r="197" spans="1:81" ht="12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0"/>
      <c r="BK197" s="110"/>
      <c r="BL197" s="110"/>
      <c r="BM197" s="110"/>
      <c r="BN197" s="110"/>
      <c r="BO197" s="110"/>
      <c r="BP197" s="110"/>
      <c r="BQ197" s="110"/>
      <c r="BR197" s="110"/>
      <c r="BS197" s="110"/>
      <c r="BT197" s="110"/>
      <c r="BU197" s="110"/>
      <c r="BV197" s="110"/>
      <c r="BW197" s="110"/>
      <c r="BX197" s="110"/>
      <c r="BY197" s="110"/>
      <c r="BZ197" s="110"/>
      <c r="CA197" s="110"/>
      <c r="CB197" s="110"/>
      <c r="CC197" s="110"/>
    </row>
    <row r="198" spans="1:81" ht="12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  <c r="AW198" s="110"/>
      <c r="AX198" s="110"/>
      <c r="AY198" s="110"/>
      <c r="AZ198" s="110"/>
      <c r="BA198" s="110"/>
      <c r="BB198" s="110"/>
      <c r="BC198" s="110"/>
      <c r="BD198" s="110"/>
      <c r="BE198" s="110"/>
      <c r="BF198" s="110"/>
      <c r="BG198" s="110"/>
      <c r="BH198" s="110"/>
      <c r="BI198" s="110"/>
      <c r="BJ198" s="110"/>
      <c r="BK198" s="110"/>
      <c r="BL198" s="110"/>
      <c r="BM198" s="110"/>
      <c r="BN198" s="110"/>
      <c r="BO198" s="110"/>
      <c r="BP198" s="110"/>
      <c r="BQ198" s="110"/>
      <c r="BR198" s="110"/>
      <c r="BS198" s="110"/>
      <c r="BT198" s="110"/>
      <c r="BU198" s="110"/>
      <c r="BV198" s="110"/>
      <c r="BW198" s="110"/>
      <c r="BX198" s="110"/>
      <c r="BY198" s="110"/>
      <c r="BZ198" s="110"/>
      <c r="CA198" s="110"/>
      <c r="CB198" s="110"/>
      <c r="CC198" s="110"/>
    </row>
    <row r="199" spans="1:81" ht="12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  <c r="AW199" s="110"/>
      <c r="AX199" s="110"/>
      <c r="AY199" s="110"/>
      <c r="AZ199" s="110"/>
      <c r="BA199" s="110"/>
      <c r="BB199" s="110"/>
      <c r="BC199" s="110"/>
      <c r="BD199" s="110"/>
      <c r="BE199" s="110"/>
      <c r="BF199" s="110"/>
      <c r="BG199" s="110"/>
      <c r="BH199" s="110"/>
      <c r="BI199" s="110"/>
      <c r="BJ199" s="110"/>
      <c r="BK199" s="110"/>
      <c r="BL199" s="110"/>
      <c r="BM199" s="110"/>
      <c r="BN199" s="110"/>
      <c r="BO199" s="110"/>
      <c r="BP199" s="110"/>
      <c r="BQ199" s="110"/>
      <c r="BR199" s="110"/>
      <c r="BS199" s="110"/>
      <c r="BT199" s="110"/>
      <c r="BU199" s="110"/>
      <c r="BV199" s="110"/>
      <c r="BW199" s="110"/>
      <c r="BX199" s="110"/>
      <c r="BY199" s="110"/>
      <c r="BZ199" s="110"/>
      <c r="CA199" s="110"/>
      <c r="CB199" s="110"/>
      <c r="CC199" s="110"/>
    </row>
    <row r="200" spans="1:81" ht="12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  <c r="AW200" s="110"/>
      <c r="AX200" s="110"/>
      <c r="AY200" s="110"/>
      <c r="AZ200" s="110"/>
      <c r="BA200" s="110"/>
      <c r="BB200" s="110"/>
      <c r="BC200" s="110"/>
      <c r="BD200" s="110"/>
      <c r="BE200" s="110"/>
      <c r="BF200" s="110"/>
      <c r="BG200" s="110"/>
      <c r="BH200" s="110"/>
      <c r="BI200" s="110"/>
      <c r="BJ200" s="110"/>
      <c r="BK200" s="110"/>
      <c r="BL200" s="110"/>
      <c r="BM200" s="110"/>
      <c r="BN200" s="110"/>
      <c r="BO200" s="110"/>
      <c r="BP200" s="110"/>
      <c r="BQ200" s="110"/>
      <c r="BR200" s="110"/>
      <c r="BS200" s="110"/>
      <c r="BT200" s="110"/>
      <c r="BU200" s="110"/>
      <c r="BV200" s="110"/>
      <c r="BW200" s="110"/>
      <c r="BX200" s="110"/>
      <c r="BY200" s="110"/>
      <c r="BZ200" s="110"/>
      <c r="CA200" s="110"/>
      <c r="CB200" s="110"/>
      <c r="CC200" s="110"/>
    </row>
    <row r="201" spans="1:81" ht="12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  <c r="AW201" s="110"/>
      <c r="AX201" s="110"/>
      <c r="AY201" s="110"/>
      <c r="AZ201" s="110"/>
      <c r="BA201" s="110"/>
      <c r="BB201" s="110"/>
      <c r="BC201" s="110"/>
      <c r="BD201" s="110"/>
      <c r="BE201" s="110"/>
      <c r="BF201" s="110"/>
      <c r="BG201" s="110"/>
      <c r="BH201" s="110"/>
      <c r="BI201" s="110"/>
      <c r="BJ201" s="110"/>
      <c r="BK201" s="110"/>
      <c r="BL201" s="110"/>
      <c r="BM201" s="110"/>
      <c r="BN201" s="110"/>
      <c r="BO201" s="110"/>
      <c r="BP201" s="110"/>
      <c r="BQ201" s="110"/>
      <c r="BR201" s="110"/>
      <c r="BS201" s="110"/>
      <c r="BT201" s="110"/>
      <c r="BU201" s="110"/>
      <c r="BV201" s="110"/>
      <c r="BW201" s="110"/>
      <c r="BX201" s="110"/>
      <c r="BY201" s="110"/>
      <c r="BZ201" s="110"/>
      <c r="CA201" s="110"/>
      <c r="CB201" s="110"/>
      <c r="CC201" s="110"/>
    </row>
    <row r="202" spans="1:81" ht="12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  <c r="AW202" s="110"/>
      <c r="AX202" s="110"/>
      <c r="AY202" s="110"/>
      <c r="AZ202" s="110"/>
      <c r="BA202" s="110"/>
      <c r="BB202" s="110"/>
      <c r="BC202" s="110"/>
      <c r="BD202" s="110"/>
      <c r="BE202" s="110"/>
      <c r="BF202" s="110"/>
      <c r="BG202" s="110"/>
      <c r="BH202" s="110"/>
      <c r="BI202" s="110"/>
      <c r="BJ202" s="110"/>
      <c r="BK202" s="110"/>
      <c r="BL202" s="110"/>
      <c r="BM202" s="110"/>
      <c r="BN202" s="110"/>
      <c r="BO202" s="110"/>
      <c r="BP202" s="110"/>
      <c r="BQ202" s="110"/>
      <c r="BR202" s="110"/>
      <c r="BS202" s="110"/>
      <c r="BT202" s="110"/>
      <c r="BU202" s="110"/>
      <c r="BV202" s="110"/>
      <c r="BW202" s="110"/>
      <c r="BX202" s="110"/>
      <c r="BY202" s="110"/>
      <c r="BZ202" s="110"/>
      <c r="CA202" s="110"/>
      <c r="CB202" s="110"/>
      <c r="CC202" s="110"/>
    </row>
    <row r="203" spans="1:81" ht="12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  <c r="AW203" s="110"/>
      <c r="AX203" s="110"/>
      <c r="AY203" s="110"/>
      <c r="AZ203" s="110"/>
      <c r="BA203" s="110"/>
      <c r="BB203" s="110"/>
      <c r="BC203" s="110"/>
      <c r="BD203" s="110"/>
      <c r="BE203" s="110"/>
      <c r="BF203" s="110"/>
      <c r="BG203" s="110"/>
      <c r="BH203" s="110"/>
      <c r="BI203" s="110"/>
      <c r="BJ203" s="110"/>
      <c r="BK203" s="110"/>
      <c r="BL203" s="110"/>
      <c r="BM203" s="110"/>
      <c r="BN203" s="110"/>
      <c r="BO203" s="110"/>
      <c r="BP203" s="110"/>
      <c r="BQ203" s="110"/>
      <c r="BR203" s="110"/>
      <c r="BS203" s="110"/>
      <c r="BT203" s="110"/>
      <c r="BU203" s="110"/>
      <c r="BV203" s="110"/>
      <c r="BW203" s="110"/>
      <c r="BX203" s="110"/>
      <c r="BY203" s="110"/>
      <c r="BZ203" s="110"/>
      <c r="CA203" s="110"/>
      <c r="CB203" s="110"/>
      <c r="CC203" s="110"/>
    </row>
    <row r="204" spans="1:81" ht="12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  <c r="AW204" s="110"/>
      <c r="AX204" s="110"/>
      <c r="AY204" s="110"/>
      <c r="AZ204" s="110"/>
      <c r="BA204" s="110"/>
      <c r="BB204" s="110"/>
      <c r="BC204" s="110"/>
      <c r="BD204" s="110"/>
      <c r="BE204" s="110"/>
      <c r="BF204" s="110"/>
      <c r="BG204" s="110"/>
      <c r="BH204" s="110"/>
      <c r="BI204" s="110"/>
      <c r="BJ204" s="110"/>
      <c r="BK204" s="110"/>
      <c r="BL204" s="110"/>
      <c r="BM204" s="110"/>
      <c r="BN204" s="110"/>
      <c r="BO204" s="110"/>
      <c r="BP204" s="110"/>
      <c r="BQ204" s="110"/>
      <c r="BR204" s="110"/>
      <c r="BS204" s="110"/>
      <c r="BT204" s="110"/>
      <c r="BU204" s="110"/>
      <c r="BV204" s="110"/>
      <c r="BW204" s="110"/>
      <c r="BX204" s="110"/>
      <c r="BY204" s="110"/>
      <c r="BZ204" s="110"/>
      <c r="CA204" s="110"/>
      <c r="CB204" s="110"/>
      <c r="CC204" s="110"/>
    </row>
    <row r="205" spans="1:81" ht="12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  <c r="AW205" s="110"/>
      <c r="AX205" s="110"/>
      <c r="AY205" s="110"/>
      <c r="AZ205" s="110"/>
      <c r="BA205" s="110"/>
      <c r="BB205" s="110"/>
      <c r="BC205" s="110"/>
      <c r="BD205" s="110"/>
      <c r="BE205" s="110"/>
      <c r="BF205" s="110"/>
      <c r="BG205" s="110"/>
      <c r="BH205" s="110"/>
      <c r="BI205" s="110"/>
      <c r="BJ205" s="110"/>
      <c r="BK205" s="110"/>
      <c r="BL205" s="110"/>
      <c r="BM205" s="110"/>
      <c r="BN205" s="110"/>
      <c r="BO205" s="110"/>
      <c r="BP205" s="110"/>
      <c r="BQ205" s="110"/>
      <c r="BR205" s="110"/>
      <c r="BS205" s="110"/>
      <c r="BT205" s="110"/>
      <c r="BU205" s="110"/>
      <c r="BV205" s="110"/>
      <c r="BW205" s="110"/>
      <c r="BX205" s="110"/>
      <c r="BY205" s="110"/>
      <c r="BZ205" s="110"/>
      <c r="CA205" s="110"/>
      <c r="CB205" s="110"/>
      <c r="CC205" s="110"/>
    </row>
    <row r="206" spans="1:81" ht="12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0"/>
      <c r="AW206" s="110"/>
      <c r="AX206" s="110"/>
      <c r="AY206" s="110"/>
      <c r="AZ206" s="110"/>
      <c r="BA206" s="110"/>
      <c r="BB206" s="110"/>
      <c r="BC206" s="110"/>
      <c r="BD206" s="110"/>
      <c r="BE206" s="110"/>
      <c r="BF206" s="110"/>
      <c r="BG206" s="110"/>
      <c r="BH206" s="110"/>
      <c r="BI206" s="110"/>
      <c r="BJ206" s="110"/>
      <c r="BK206" s="110"/>
      <c r="BL206" s="110"/>
      <c r="BM206" s="110"/>
      <c r="BN206" s="110"/>
      <c r="BO206" s="110"/>
      <c r="BP206" s="110"/>
      <c r="BQ206" s="110"/>
      <c r="BR206" s="110"/>
      <c r="BS206" s="110"/>
      <c r="BT206" s="110"/>
      <c r="BU206" s="110"/>
      <c r="BV206" s="110"/>
      <c r="BW206" s="110"/>
      <c r="BX206" s="110"/>
      <c r="BY206" s="110"/>
      <c r="BZ206" s="110"/>
      <c r="CA206" s="110"/>
      <c r="CB206" s="110"/>
      <c r="CC206" s="110"/>
    </row>
    <row r="207" spans="1:81" ht="12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0"/>
      <c r="AW207" s="110"/>
      <c r="AX207" s="110"/>
      <c r="AY207" s="110"/>
      <c r="AZ207" s="110"/>
      <c r="BA207" s="110"/>
      <c r="BB207" s="110"/>
      <c r="BC207" s="110"/>
      <c r="BD207" s="110"/>
      <c r="BE207" s="110"/>
      <c r="BF207" s="110"/>
      <c r="BG207" s="110"/>
      <c r="BH207" s="110"/>
      <c r="BI207" s="110"/>
      <c r="BJ207" s="110"/>
      <c r="BK207" s="110"/>
      <c r="BL207" s="110"/>
      <c r="BM207" s="110"/>
      <c r="BN207" s="110"/>
      <c r="BO207" s="110"/>
      <c r="BP207" s="110"/>
      <c r="BQ207" s="110"/>
      <c r="BR207" s="110"/>
      <c r="BS207" s="110"/>
      <c r="BT207" s="110"/>
      <c r="BU207" s="110"/>
      <c r="BV207" s="110"/>
      <c r="BW207" s="110"/>
      <c r="BX207" s="110"/>
      <c r="BY207" s="110"/>
      <c r="BZ207" s="110"/>
      <c r="CA207" s="110"/>
      <c r="CB207" s="110"/>
      <c r="CC207" s="110"/>
    </row>
    <row r="208" spans="1:81" ht="12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0"/>
      <c r="AW208" s="110"/>
      <c r="AX208" s="110"/>
      <c r="AY208" s="110"/>
      <c r="AZ208" s="110"/>
      <c r="BA208" s="110"/>
      <c r="BB208" s="110"/>
      <c r="BC208" s="110"/>
      <c r="BD208" s="110"/>
      <c r="BE208" s="110"/>
      <c r="BF208" s="110"/>
      <c r="BG208" s="110"/>
      <c r="BH208" s="110"/>
      <c r="BI208" s="110"/>
      <c r="BJ208" s="110"/>
      <c r="BK208" s="110"/>
      <c r="BL208" s="110"/>
      <c r="BM208" s="110"/>
      <c r="BN208" s="110"/>
      <c r="BO208" s="110"/>
      <c r="BP208" s="110"/>
      <c r="BQ208" s="110"/>
      <c r="BR208" s="110"/>
      <c r="BS208" s="110"/>
      <c r="BT208" s="110"/>
      <c r="BU208" s="110"/>
      <c r="BV208" s="110"/>
      <c r="BW208" s="110"/>
      <c r="BX208" s="110"/>
      <c r="BY208" s="110"/>
      <c r="BZ208" s="110"/>
      <c r="CA208" s="110"/>
      <c r="CB208" s="110"/>
      <c r="CC208" s="110"/>
    </row>
    <row r="209" spans="1:81" ht="12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0"/>
      <c r="AW209" s="110"/>
      <c r="AX209" s="110"/>
      <c r="AY209" s="110"/>
      <c r="AZ209" s="110"/>
      <c r="BA209" s="110"/>
      <c r="BB209" s="110"/>
      <c r="BC209" s="110"/>
      <c r="BD209" s="110"/>
      <c r="BE209" s="110"/>
      <c r="BF209" s="110"/>
      <c r="BG209" s="110"/>
      <c r="BH209" s="110"/>
      <c r="BI209" s="110"/>
      <c r="BJ209" s="110"/>
      <c r="BK209" s="110"/>
      <c r="BL209" s="110"/>
      <c r="BM209" s="110"/>
      <c r="BN209" s="110"/>
      <c r="BO209" s="110"/>
      <c r="BP209" s="110"/>
      <c r="BQ209" s="110"/>
      <c r="BR209" s="110"/>
      <c r="BS209" s="110"/>
      <c r="BT209" s="110"/>
      <c r="BU209" s="110"/>
      <c r="BV209" s="110"/>
      <c r="BW209" s="110"/>
      <c r="BX209" s="110"/>
      <c r="BY209" s="110"/>
      <c r="BZ209" s="110"/>
      <c r="CA209" s="110"/>
      <c r="CB209" s="110"/>
      <c r="CC209" s="110"/>
    </row>
    <row r="210" spans="1:81" ht="12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  <c r="AW210" s="110"/>
      <c r="AX210" s="110"/>
      <c r="AY210" s="110"/>
      <c r="AZ210" s="110"/>
      <c r="BA210" s="110"/>
      <c r="BB210" s="110"/>
      <c r="BC210" s="110"/>
      <c r="BD210" s="110"/>
      <c r="BE210" s="110"/>
      <c r="BF210" s="110"/>
      <c r="BG210" s="110"/>
      <c r="BH210" s="110"/>
      <c r="BI210" s="110"/>
      <c r="BJ210" s="110"/>
      <c r="BK210" s="110"/>
      <c r="BL210" s="110"/>
      <c r="BM210" s="110"/>
      <c r="BN210" s="110"/>
      <c r="BO210" s="110"/>
      <c r="BP210" s="110"/>
      <c r="BQ210" s="110"/>
      <c r="BR210" s="110"/>
      <c r="BS210" s="110"/>
      <c r="BT210" s="110"/>
      <c r="BU210" s="110"/>
      <c r="BV210" s="110"/>
      <c r="BW210" s="110"/>
      <c r="BX210" s="110"/>
      <c r="BY210" s="110"/>
      <c r="BZ210" s="110"/>
      <c r="CA210" s="110"/>
      <c r="CB210" s="110"/>
      <c r="CC210" s="110"/>
    </row>
    <row r="211" spans="1:81" ht="12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  <c r="AW211" s="110"/>
      <c r="AX211" s="110"/>
      <c r="AY211" s="110"/>
      <c r="AZ211" s="110"/>
      <c r="BA211" s="110"/>
      <c r="BB211" s="110"/>
      <c r="BC211" s="110"/>
      <c r="BD211" s="110"/>
      <c r="BE211" s="110"/>
      <c r="BF211" s="110"/>
      <c r="BG211" s="110"/>
      <c r="BH211" s="110"/>
      <c r="BI211" s="110"/>
      <c r="BJ211" s="110"/>
      <c r="BK211" s="110"/>
      <c r="BL211" s="110"/>
      <c r="BM211" s="110"/>
      <c r="BN211" s="110"/>
      <c r="BO211" s="110"/>
      <c r="BP211" s="110"/>
      <c r="BQ211" s="110"/>
      <c r="BR211" s="110"/>
      <c r="BS211" s="110"/>
      <c r="BT211" s="110"/>
      <c r="BU211" s="110"/>
      <c r="BV211" s="110"/>
      <c r="BW211" s="110"/>
      <c r="BX211" s="110"/>
      <c r="BY211" s="110"/>
      <c r="BZ211" s="110"/>
      <c r="CA211" s="110"/>
      <c r="CB211" s="110"/>
      <c r="CC211" s="110"/>
    </row>
    <row r="212" spans="1:81" ht="12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  <c r="AV212" s="110"/>
      <c r="AW212" s="110"/>
      <c r="AX212" s="110"/>
      <c r="AY212" s="110"/>
      <c r="AZ212" s="110"/>
      <c r="BA212" s="110"/>
      <c r="BB212" s="110"/>
      <c r="BC212" s="110"/>
      <c r="BD212" s="110"/>
      <c r="BE212" s="110"/>
      <c r="BF212" s="110"/>
      <c r="BG212" s="110"/>
      <c r="BH212" s="110"/>
      <c r="BI212" s="110"/>
      <c r="BJ212" s="110"/>
      <c r="BK212" s="110"/>
      <c r="BL212" s="110"/>
      <c r="BM212" s="110"/>
      <c r="BN212" s="110"/>
      <c r="BO212" s="110"/>
      <c r="BP212" s="110"/>
      <c r="BQ212" s="110"/>
      <c r="BR212" s="110"/>
      <c r="BS212" s="110"/>
      <c r="BT212" s="110"/>
      <c r="BU212" s="110"/>
      <c r="BV212" s="110"/>
      <c r="BW212" s="110"/>
      <c r="BX212" s="110"/>
      <c r="BY212" s="110"/>
      <c r="BZ212" s="110"/>
      <c r="CA212" s="110"/>
      <c r="CB212" s="110"/>
      <c r="CC212" s="110"/>
    </row>
    <row r="213" spans="1:81" ht="12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  <c r="AV213" s="110"/>
      <c r="AW213" s="110"/>
      <c r="AX213" s="110"/>
      <c r="AY213" s="110"/>
      <c r="AZ213" s="110"/>
      <c r="BA213" s="110"/>
      <c r="BB213" s="110"/>
      <c r="BC213" s="110"/>
      <c r="BD213" s="110"/>
      <c r="BE213" s="110"/>
      <c r="BF213" s="110"/>
      <c r="BG213" s="110"/>
      <c r="BH213" s="110"/>
      <c r="BI213" s="110"/>
      <c r="BJ213" s="110"/>
      <c r="BK213" s="110"/>
      <c r="BL213" s="110"/>
      <c r="BM213" s="110"/>
      <c r="BN213" s="110"/>
      <c r="BO213" s="110"/>
      <c r="BP213" s="110"/>
      <c r="BQ213" s="110"/>
      <c r="BR213" s="110"/>
      <c r="BS213" s="110"/>
      <c r="BT213" s="110"/>
      <c r="BU213" s="110"/>
      <c r="BV213" s="110"/>
      <c r="BW213" s="110"/>
      <c r="BX213" s="110"/>
      <c r="BY213" s="110"/>
      <c r="BZ213" s="110"/>
      <c r="CA213" s="110"/>
      <c r="CB213" s="110"/>
      <c r="CC213" s="110"/>
    </row>
    <row r="214" spans="1:81" ht="12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  <c r="AW214" s="110"/>
      <c r="AX214" s="110"/>
      <c r="AY214" s="110"/>
      <c r="AZ214" s="110"/>
      <c r="BA214" s="110"/>
      <c r="BB214" s="110"/>
      <c r="BC214" s="110"/>
      <c r="BD214" s="110"/>
      <c r="BE214" s="110"/>
      <c r="BF214" s="110"/>
      <c r="BG214" s="110"/>
      <c r="BH214" s="110"/>
      <c r="BI214" s="110"/>
      <c r="BJ214" s="110"/>
      <c r="BK214" s="110"/>
      <c r="BL214" s="110"/>
      <c r="BM214" s="110"/>
      <c r="BN214" s="110"/>
      <c r="BO214" s="110"/>
      <c r="BP214" s="110"/>
      <c r="BQ214" s="110"/>
      <c r="BR214" s="110"/>
      <c r="BS214" s="110"/>
      <c r="BT214" s="110"/>
      <c r="BU214" s="110"/>
      <c r="BV214" s="110"/>
      <c r="BW214" s="110"/>
      <c r="BX214" s="110"/>
      <c r="BY214" s="110"/>
      <c r="BZ214" s="110"/>
      <c r="CA214" s="110"/>
      <c r="CB214" s="110"/>
      <c r="CC214" s="110"/>
    </row>
    <row r="215" spans="1:81" ht="12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  <c r="AW215" s="110"/>
      <c r="AX215" s="110"/>
      <c r="AY215" s="110"/>
      <c r="AZ215" s="110"/>
      <c r="BA215" s="110"/>
      <c r="BB215" s="110"/>
      <c r="BC215" s="110"/>
      <c r="BD215" s="110"/>
      <c r="BE215" s="110"/>
      <c r="BF215" s="110"/>
      <c r="BG215" s="110"/>
      <c r="BH215" s="110"/>
      <c r="BI215" s="110"/>
      <c r="BJ215" s="110"/>
      <c r="BK215" s="110"/>
      <c r="BL215" s="110"/>
      <c r="BM215" s="110"/>
      <c r="BN215" s="110"/>
      <c r="BO215" s="110"/>
      <c r="BP215" s="110"/>
      <c r="BQ215" s="110"/>
      <c r="BR215" s="110"/>
      <c r="BS215" s="110"/>
      <c r="BT215" s="110"/>
      <c r="BU215" s="110"/>
      <c r="BV215" s="110"/>
      <c r="BW215" s="110"/>
      <c r="BX215" s="110"/>
      <c r="BY215" s="110"/>
      <c r="BZ215" s="110"/>
      <c r="CA215" s="110"/>
      <c r="CB215" s="110"/>
      <c r="CC215" s="110"/>
    </row>
    <row r="216" spans="1:81" ht="12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  <c r="AV216" s="110"/>
      <c r="AW216" s="110"/>
      <c r="AX216" s="110"/>
      <c r="AY216" s="110"/>
      <c r="AZ216" s="110"/>
      <c r="BA216" s="110"/>
      <c r="BB216" s="110"/>
      <c r="BC216" s="110"/>
      <c r="BD216" s="110"/>
      <c r="BE216" s="110"/>
      <c r="BF216" s="110"/>
      <c r="BG216" s="110"/>
      <c r="BH216" s="110"/>
      <c r="BI216" s="110"/>
      <c r="BJ216" s="110"/>
      <c r="BK216" s="110"/>
      <c r="BL216" s="110"/>
      <c r="BM216" s="110"/>
      <c r="BN216" s="110"/>
      <c r="BO216" s="110"/>
      <c r="BP216" s="110"/>
      <c r="BQ216" s="110"/>
      <c r="BR216" s="110"/>
      <c r="BS216" s="110"/>
      <c r="BT216" s="110"/>
      <c r="BU216" s="110"/>
      <c r="BV216" s="110"/>
      <c r="BW216" s="110"/>
      <c r="BX216" s="110"/>
      <c r="BY216" s="110"/>
      <c r="BZ216" s="110"/>
      <c r="CA216" s="110"/>
      <c r="CB216" s="110"/>
      <c r="CC216" s="110"/>
    </row>
    <row r="217" spans="1:81" ht="12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  <c r="AV217" s="110"/>
      <c r="AW217" s="110"/>
      <c r="AX217" s="110"/>
      <c r="AY217" s="110"/>
      <c r="AZ217" s="110"/>
      <c r="BA217" s="110"/>
      <c r="BB217" s="110"/>
      <c r="BC217" s="110"/>
      <c r="BD217" s="110"/>
      <c r="BE217" s="110"/>
      <c r="BF217" s="110"/>
      <c r="BG217" s="110"/>
      <c r="BH217" s="110"/>
      <c r="BI217" s="110"/>
      <c r="BJ217" s="110"/>
      <c r="BK217" s="110"/>
      <c r="BL217" s="110"/>
      <c r="BM217" s="110"/>
      <c r="BN217" s="110"/>
      <c r="BO217" s="110"/>
      <c r="BP217" s="110"/>
      <c r="BQ217" s="110"/>
      <c r="BR217" s="110"/>
      <c r="BS217" s="110"/>
      <c r="BT217" s="110"/>
      <c r="BU217" s="110"/>
      <c r="BV217" s="110"/>
      <c r="BW217" s="110"/>
      <c r="BX217" s="110"/>
      <c r="BY217" s="110"/>
      <c r="BZ217" s="110"/>
      <c r="CA217" s="110"/>
      <c r="CB217" s="110"/>
      <c r="CC217" s="110"/>
    </row>
    <row r="218" spans="1:81" ht="12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  <c r="AW218" s="110"/>
      <c r="AX218" s="110"/>
      <c r="AY218" s="110"/>
      <c r="AZ218" s="110"/>
      <c r="BA218" s="110"/>
      <c r="BB218" s="110"/>
      <c r="BC218" s="110"/>
      <c r="BD218" s="110"/>
      <c r="BE218" s="110"/>
      <c r="BF218" s="110"/>
      <c r="BG218" s="110"/>
      <c r="BH218" s="110"/>
      <c r="BI218" s="110"/>
      <c r="BJ218" s="110"/>
      <c r="BK218" s="110"/>
      <c r="BL218" s="110"/>
      <c r="BM218" s="110"/>
      <c r="BN218" s="110"/>
      <c r="BO218" s="110"/>
      <c r="BP218" s="110"/>
      <c r="BQ218" s="110"/>
      <c r="BR218" s="110"/>
      <c r="BS218" s="110"/>
      <c r="BT218" s="110"/>
      <c r="BU218" s="110"/>
      <c r="BV218" s="110"/>
      <c r="BW218" s="110"/>
      <c r="BX218" s="110"/>
      <c r="BY218" s="110"/>
      <c r="BZ218" s="110"/>
      <c r="CA218" s="110"/>
      <c r="CB218" s="110"/>
      <c r="CC218" s="110"/>
    </row>
    <row r="219" spans="1:81" ht="12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  <c r="AW219" s="110"/>
      <c r="AX219" s="110"/>
      <c r="AY219" s="110"/>
      <c r="AZ219" s="110"/>
      <c r="BA219" s="110"/>
      <c r="BB219" s="110"/>
      <c r="BC219" s="110"/>
      <c r="BD219" s="110"/>
      <c r="BE219" s="110"/>
      <c r="BF219" s="110"/>
      <c r="BG219" s="110"/>
      <c r="BH219" s="110"/>
      <c r="BI219" s="110"/>
      <c r="BJ219" s="110"/>
      <c r="BK219" s="110"/>
      <c r="BL219" s="110"/>
      <c r="BM219" s="110"/>
      <c r="BN219" s="110"/>
      <c r="BO219" s="110"/>
      <c r="BP219" s="110"/>
      <c r="BQ219" s="110"/>
      <c r="BR219" s="110"/>
      <c r="BS219" s="110"/>
      <c r="BT219" s="110"/>
      <c r="BU219" s="110"/>
      <c r="BV219" s="110"/>
      <c r="BW219" s="110"/>
      <c r="BX219" s="110"/>
      <c r="BY219" s="110"/>
      <c r="BZ219" s="110"/>
      <c r="CA219" s="110"/>
      <c r="CB219" s="110"/>
      <c r="CC219" s="110"/>
    </row>
    <row r="220" spans="1:81" ht="12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  <c r="AW220" s="110"/>
      <c r="AX220" s="110"/>
      <c r="AY220" s="110"/>
      <c r="AZ220" s="110"/>
      <c r="BA220" s="110"/>
      <c r="BB220" s="110"/>
      <c r="BC220" s="110"/>
      <c r="BD220" s="110"/>
      <c r="BE220" s="110"/>
      <c r="BF220" s="110"/>
      <c r="BG220" s="110"/>
      <c r="BH220" s="110"/>
      <c r="BI220" s="110"/>
      <c r="BJ220" s="110"/>
      <c r="BK220" s="110"/>
      <c r="BL220" s="110"/>
      <c r="BM220" s="110"/>
      <c r="BN220" s="110"/>
      <c r="BO220" s="110"/>
      <c r="BP220" s="110"/>
      <c r="BQ220" s="110"/>
      <c r="BR220" s="110"/>
      <c r="BS220" s="110"/>
      <c r="BT220" s="110"/>
      <c r="BU220" s="110"/>
      <c r="BV220" s="110"/>
      <c r="BW220" s="110"/>
      <c r="BX220" s="110"/>
      <c r="BY220" s="110"/>
      <c r="BZ220" s="110"/>
      <c r="CA220" s="110"/>
      <c r="CB220" s="110"/>
      <c r="CC220" s="110"/>
    </row>
    <row r="221" spans="1:81" ht="12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  <c r="AW221" s="110"/>
      <c r="AX221" s="110"/>
      <c r="AY221" s="110"/>
      <c r="AZ221" s="110"/>
      <c r="BA221" s="110"/>
      <c r="BB221" s="110"/>
      <c r="BC221" s="110"/>
      <c r="BD221" s="110"/>
      <c r="BE221" s="110"/>
      <c r="BF221" s="110"/>
      <c r="BG221" s="110"/>
      <c r="BH221" s="110"/>
      <c r="BI221" s="110"/>
      <c r="BJ221" s="110"/>
      <c r="BK221" s="110"/>
      <c r="BL221" s="110"/>
      <c r="BM221" s="110"/>
      <c r="BN221" s="110"/>
      <c r="BO221" s="110"/>
      <c r="BP221" s="110"/>
      <c r="BQ221" s="110"/>
      <c r="BR221" s="110"/>
      <c r="BS221" s="110"/>
      <c r="BT221" s="110"/>
      <c r="BU221" s="110"/>
      <c r="BV221" s="110"/>
      <c r="BW221" s="110"/>
      <c r="BX221" s="110"/>
      <c r="BY221" s="110"/>
      <c r="BZ221" s="110"/>
      <c r="CA221" s="110"/>
      <c r="CB221" s="110"/>
      <c r="CC221" s="110"/>
    </row>
    <row r="222" spans="1:81" ht="12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  <c r="AW222" s="110"/>
      <c r="AX222" s="110"/>
      <c r="AY222" s="110"/>
      <c r="AZ222" s="110"/>
      <c r="BA222" s="110"/>
      <c r="BB222" s="110"/>
      <c r="BC222" s="110"/>
      <c r="BD222" s="110"/>
      <c r="BE222" s="110"/>
      <c r="BF222" s="110"/>
      <c r="BG222" s="110"/>
      <c r="BH222" s="110"/>
      <c r="BI222" s="110"/>
      <c r="BJ222" s="110"/>
      <c r="BK222" s="110"/>
      <c r="BL222" s="110"/>
      <c r="BM222" s="110"/>
      <c r="BN222" s="110"/>
      <c r="BO222" s="110"/>
      <c r="BP222" s="110"/>
      <c r="BQ222" s="110"/>
      <c r="BR222" s="110"/>
      <c r="BS222" s="110"/>
      <c r="BT222" s="110"/>
      <c r="BU222" s="110"/>
      <c r="BV222" s="110"/>
      <c r="BW222" s="110"/>
      <c r="BX222" s="110"/>
      <c r="BY222" s="110"/>
      <c r="BZ222" s="110"/>
      <c r="CA222" s="110"/>
      <c r="CB222" s="110"/>
      <c r="CC222" s="110"/>
    </row>
    <row r="223" spans="1:81" ht="12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  <c r="AW223" s="110"/>
      <c r="AX223" s="110"/>
      <c r="AY223" s="110"/>
      <c r="AZ223" s="110"/>
      <c r="BA223" s="110"/>
      <c r="BB223" s="110"/>
      <c r="BC223" s="110"/>
      <c r="BD223" s="110"/>
      <c r="BE223" s="110"/>
      <c r="BF223" s="110"/>
      <c r="BG223" s="110"/>
      <c r="BH223" s="110"/>
      <c r="BI223" s="110"/>
      <c r="BJ223" s="110"/>
      <c r="BK223" s="110"/>
      <c r="BL223" s="110"/>
      <c r="BM223" s="110"/>
      <c r="BN223" s="110"/>
      <c r="BO223" s="110"/>
      <c r="BP223" s="110"/>
      <c r="BQ223" s="110"/>
      <c r="BR223" s="110"/>
      <c r="BS223" s="110"/>
      <c r="BT223" s="110"/>
      <c r="BU223" s="110"/>
      <c r="BV223" s="110"/>
      <c r="BW223" s="110"/>
      <c r="BX223" s="110"/>
      <c r="BY223" s="110"/>
      <c r="BZ223" s="110"/>
      <c r="CA223" s="110"/>
      <c r="CB223" s="110"/>
      <c r="CC223" s="110"/>
    </row>
    <row r="224" spans="1:81" ht="12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  <c r="AW224" s="110"/>
      <c r="AX224" s="110"/>
      <c r="AY224" s="110"/>
      <c r="AZ224" s="110"/>
      <c r="BA224" s="110"/>
      <c r="BB224" s="110"/>
      <c r="BC224" s="110"/>
      <c r="BD224" s="110"/>
      <c r="BE224" s="110"/>
      <c r="BF224" s="110"/>
      <c r="BG224" s="110"/>
      <c r="BH224" s="110"/>
      <c r="BI224" s="110"/>
      <c r="BJ224" s="110"/>
      <c r="BK224" s="110"/>
      <c r="BL224" s="110"/>
      <c r="BM224" s="110"/>
      <c r="BN224" s="110"/>
      <c r="BO224" s="110"/>
      <c r="BP224" s="110"/>
      <c r="BQ224" s="110"/>
      <c r="BR224" s="110"/>
      <c r="BS224" s="110"/>
      <c r="BT224" s="110"/>
      <c r="BU224" s="110"/>
      <c r="BV224" s="110"/>
      <c r="BW224" s="110"/>
      <c r="BX224" s="110"/>
      <c r="BY224" s="110"/>
      <c r="BZ224" s="110"/>
      <c r="CA224" s="110"/>
      <c r="CB224" s="110"/>
      <c r="CC224" s="110"/>
    </row>
    <row r="225" spans="1:81" ht="12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  <c r="AW225" s="110"/>
      <c r="AX225" s="110"/>
      <c r="AY225" s="110"/>
      <c r="AZ225" s="110"/>
      <c r="BA225" s="110"/>
      <c r="BB225" s="110"/>
      <c r="BC225" s="110"/>
      <c r="BD225" s="110"/>
      <c r="BE225" s="110"/>
      <c r="BF225" s="110"/>
      <c r="BG225" s="110"/>
      <c r="BH225" s="110"/>
      <c r="BI225" s="110"/>
      <c r="BJ225" s="110"/>
      <c r="BK225" s="110"/>
      <c r="BL225" s="110"/>
      <c r="BM225" s="110"/>
      <c r="BN225" s="110"/>
      <c r="BO225" s="110"/>
      <c r="BP225" s="110"/>
      <c r="BQ225" s="110"/>
      <c r="BR225" s="110"/>
      <c r="BS225" s="110"/>
      <c r="BT225" s="110"/>
      <c r="BU225" s="110"/>
      <c r="BV225" s="110"/>
      <c r="BW225" s="110"/>
      <c r="BX225" s="110"/>
      <c r="BY225" s="110"/>
      <c r="BZ225" s="110"/>
      <c r="CA225" s="110"/>
      <c r="CB225" s="110"/>
      <c r="CC225" s="110"/>
    </row>
    <row r="226" spans="1:81" ht="12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  <c r="BB226" s="110"/>
      <c r="BC226" s="110"/>
      <c r="BD226" s="110"/>
      <c r="BE226" s="110"/>
      <c r="BF226" s="110"/>
      <c r="BG226" s="110"/>
      <c r="BH226" s="110"/>
      <c r="BI226" s="110"/>
      <c r="BJ226" s="110"/>
      <c r="BK226" s="110"/>
      <c r="BL226" s="110"/>
      <c r="BM226" s="110"/>
      <c r="BN226" s="110"/>
      <c r="BO226" s="110"/>
      <c r="BP226" s="110"/>
      <c r="BQ226" s="110"/>
      <c r="BR226" s="110"/>
      <c r="BS226" s="110"/>
      <c r="BT226" s="110"/>
      <c r="BU226" s="110"/>
      <c r="BV226" s="110"/>
      <c r="BW226" s="110"/>
      <c r="BX226" s="110"/>
      <c r="BY226" s="110"/>
      <c r="BZ226" s="110"/>
      <c r="CA226" s="110"/>
      <c r="CB226" s="110"/>
      <c r="CC226" s="110"/>
    </row>
    <row r="227" spans="1:81" ht="12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  <c r="AW227" s="110"/>
      <c r="AX227" s="110"/>
      <c r="AY227" s="110"/>
      <c r="AZ227" s="110"/>
      <c r="BA227" s="110"/>
      <c r="BB227" s="110"/>
      <c r="BC227" s="110"/>
      <c r="BD227" s="110"/>
      <c r="BE227" s="110"/>
      <c r="BF227" s="110"/>
      <c r="BG227" s="110"/>
      <c r="BH227" s="110"/>
      <c r="BI227" s="110"/>
      <c r="BJ227" s="110"/>
      <c r="BK227" s="110"/>
      <c r="BL227" s="110"/>
      <c r="BM227" s="110"/>
      <c r="BN227" s="110"/>
      <c r="BO227" s="110"/>
      <c r="BP227" s="110"/>
      <c r="BQ227" s="110"/>
      <c r="BR227" s="110"/>
      <c r="BS227" s="110"/>
      <c r="BT227" s="110"/>
      <c r="BU227" s="110"/>
      <c r="BV227" s="110"/>
      <c r="BW227" s="110"/>
      <c r="BX227" s="110"/>
      <c r="BY227" s="110"/>
      <c r="BZ227" s="110"/>
      <c r="CA227" s="110"/>
      <c r="CB227" s="110"/>
      <c r="CC227" s="110"/>
    </row>
    <row r="228" spans="1:81" ht="12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  <c r="AW228" s="110"/>
      <c r="AX228" s="110"/>
      <c r="AY228" s="110"/>
      <c r="AZ228" s="110"/>
      <c r="BA228" s="110"/>
      <c r="BB228" s="110"/>
      <c r="BC228" s="110"/>
      <c r="BD228" s="110"/>
      <c r="BE228" s="110"/>
      <c r="BF228" s="110"/>
      <c r="BG228" s="110"/>
      <c r="BH228" s="110"/>
      <c r="BI228" s="110"/>
      <c r="BJ228" s="110"/>
      <c r="BK228" s="110"/>
      <c r="BL228" s="110"/>
      <c r="BM228" s="110"/>
      <c r="BN228" s="110"/>
      <c r="BO228" s="110"/>
      <c r="BP228" s="110"/>
      <c r="BQ228" s="110"/>
      <c r="BR228" s="110"/>
      <c r="BS228" s="110"/>
      <c r="BT228" s="110"/>
      <c r="BU228" s="110"/>
      <c r="BV228" s="110"/>
      <c r="BW228" s="110"/>
      <c r="BX228" s="110"/>
      <c r="BY228" s="110"/>
      <c r="BZ228" s="110"/>
      <c r="CA228" s="110"/>
      <c r="CB228" s="110"/>
      <c r="CC228" s="110"/>
    </row>
    <row r="229" spans="1:81" ht="12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  <c r="AW229" s="110"/>
      <c r="AX229" s="110"/>
      <c r="AY229" s="110"/>
      <c r="AZ229" s="110"/>
      <c r="BA229" s="110"/>
      <c r="BB229" s="110"/>
      <c r="BC229" s="110"/>
      <c r="BD229" s="110"/>
      <c r="BE229" s="110"/>
      <c r="BF229" s="110"/>
      <c r="BG229" s="110"/>
      <c r="BH229" s="110"/>
      <c r="BI229" s="110"/>
      <c r="BJ229" s="110"/>
      <c r="BK229" s="110"/>
      <c r="BL229" s="110"/>
      <c r="BM229" s="110"/>
      <c r="BN229" s="110"/>
      <c r="BO229" s="110"/>
      <c r="BP229" s="110"/>
      <c r="BQ229" s="110"/>
      <c r="BR229" s="110"/>
      <c r="BS229" s="110"/>
      <c r="BT229" s="110"/>
      <c r="BU229" s="110"/>
      <c r="BV229" s="110"/>
      <c r="BW229" s="110"/>
      <c r="BX229" s="110"/>
      <c r="BY229" s="110"/>
      <c r="BZ229" s="110"/>
      <c r="CA229" s="110"/>
      <c r="CB229" s="110"/>
      <c r="CC229" s="110"/>
    </row>
    <row r="230" spans="1:81" ht="12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  <c r="AW230" s="110"/>
      <c r="AX230" s="110"/>
      <c r="AY230" s="110"/>
      <c r="AZ230" s="110"/>
      <c r="BA230" s="110"/>
      <c r="BB230" s="110"/>
      <c r="BC230" s="110"/>
      <c r="BD230" s="110"/>
      <c r="BE230" s="110"/>
      <c r="BF230" s="110"/>
      <c r="BG230" s="110"/>
      <c r="BH230" s="110"/>
      <c r="BI230" s="110"/>
      <c r="BJ230" s="110"/>
      <c r="BK230" s="110"/>
      <c r="BL230" s="110"/>
      <c r="BM230" s="110"/>
      <c r="BN230" s="110"/>
      <c r="BO230" s="110"/>
      <c r="BP230" s="110"/>
      <c r="BQ230" s="110"/>
      <c r="BR230" s="110"/>
      <c r="BS230" s="110"/>
      <c r="BT230" s="110"/>
      <c r="BU230" s="110"/>
      <c r="BV230" s="110"/>
      <c r="BW230" s="110"/>
      <c r="BX230" s="110"/>
      <c r="BY230" s="110"/>
      <c r="BZ230" s="110"/>
      <c r="CA230" s="110"/>
      <c r="CB230" s="110"/>
      <c r="CC230" s="110"/>
    </row>
    <row r="231" spans="1:81" ht="12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110"/>
      <c r="AX231" s="110"/>
      <c r="AY231" s="110"/>
      <c r="AZ231" s="110"/>
      <c r="BA231" s="110"/>
      <c r="BB231" s="110"/>
      <c r="BC231" s="110"/>
      <c r="BD231" s="110"/>
      <c r="BE231" s="110"/>
      <c r="BF231" s="110"/>
      <c r="BG231" s="110"/>
      <c r="BH231" s="110"/>
      <c r="BI231" s="110"/>
      <c r="BJ231" s="110"/>
      <c r="BK231" s="110"/>
      <c r="BL231" s="110"/>
      <c r="BM231" s="110"/>
      <c r="BN231" s="110"/>
      <c r="BO231" s="110"/>
      <c r="BP231" s="110"/>
      <c r="BQ231" s="110"/>
      <c r="BR231" s="110"/>
      <c r="BS231" s="110"/>
      <c r="BT231" s="110"/>
      <c r="BU231" s="110"/>
      <c r="BV231" s="110"/>
      <c r="BW231" s="110"/>
      <c r="BX231" s="110"/>
      <c r="BY231" s="110"/>
      <c r="BZ231" s="110"/>
      <c r="CA231" s="110"/>
      <c r="CB231" s="110"/>
      <c r="CC231" s="110"/>
    </row>
    <row r="232" spans="1:81" ht="12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110"/>
      <c r="AX232" s="110"/>
      <c r="AY232" s="110"/>
      <c r="AZ232" s="110"/>
      <c r="BA232" s="110"/>
      <c r="BB232" s="110"/>
      <c r="BC232" s="110"/>
      <c r="BD232" s="110"/>
      <c r="BE232" s="110"/>
      <c r="BF232" s="110"/>
      <c r="BG232" s="110"/>
      <c r="BH232" s="110"/>
      <c r="BI232" s="110"/>
      <c r="BJ232" s="110"/>
      <c r="BK232" s="110"/>
      <c r="BL232" s="110"/>
      <c r="BM232" s="110"/>
      <c r="BN232" s="110"/>
      <c r="BO232" s="110"/>
      <c r="BP232" s="110"/>
      <c r="BQ232" s="110"/>
      <c r="BR232" s="110"/>
      <c r="BS232" s="110"/>
      <c r="BT232" s="110"/>
      <c r="BU232" s="110"/>
      <c r="BV232" s="110"/>
      <c r="BW232" s="110"/>
      <c r="BX232" s="110"/>
      <c r="BY232" s="110"/>
      <c r="BZ232" s="110"/>
      <c r="CA232" s="110"/>
      <c r="CB232" s="110"/>
      <c r="CC232" s="110"/>
    </row>
    <row r="233" spans="1:81" ht="12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  <c r="AW233" s="110"/>
      <c r="AX233" s="110"/>
      <c r="AY233" s="110"/>
      <c r="AZ233" s="110"/>
      <c r="BA233" s="110"/>
      <c r="BB233" s="110"/>
      <c r="BC233" s="110"/>
      <c r="BD233" s="110"/>
      <c r="BE233" s="110"/>
      <c r="BF233" s="110"/>
      <c r="BG233" s="110"/>
      <c r="BH233" s="110"/>
      <c r="BI233" s="110"/>
      <c r="BJ233" s="110"/>
      <c r="BK233" s="110"/>
      <c r="BL233" s="110"/>
      <c r="BM233" s="110"/>
      <c r="BN233" s="110"/>
      <c r="BO233" s="110"/>
      <c r="BP233" s="110"/>
      <c r="BQ233" s="110"/>
      <c r="BR233" s="110"/>
      <c r="BS233" s="110"/>
      <c r="BT233" s="110"/>
      <c r="BU233" s="110"/>
      <c r="BV233" s="110"/>
      <c r="BW233" s="110"/>
      <c r="BX233" s="110"/>
      <c r="BY233" s="110"/>
      <c r="BZ233" s="110"/>
      <c r="CA233" s="110"/>
      <c r="CB233" s="110"/>
      <c r="CC233" s="110"/>
    </row>
    <row r="234" spans="1:81" ht="12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  <c r="AV234" s="110"/>
      <c r="AW234" s="110"/>
      <c r="AX234" s="110"/>
      <c r="AY234" s="110"/>
      <c r="AZ234" s="110"/>
      <c r="BA234" s="110"/>
      <c r="BB234" s="110"/>
      <c r="BC234" s="110"/>
      <c r="BD234" s="110"/>
      <c r="BE234" s="110"/>
      <c r="BF234" s="110"/>
      <c r="BG234" s="110"/>
      <c r="BH234" s="110"/>
      <c r="BI234" s="110"/>
      <c r="BJ234" s="110"/>
      <c r="BK234" s="110"/>
      <c r="BL234" s="110"/>
      <c r="BM234" s="110"/>
      <c r="BN234" s="110"/>
      <c r="BO234" s="110"/>
      <c r="BP234" s="110"/>
      <c r="BQ234" s="110"/>
      <c r="BR234" s="110"/>
      <c r="BS234" s="110"/>
      <c r="BT234" s="110"/>
      <c r="BU234" s="110"/>
      <c r="BV234" s="110"/>
      <c r="BW234" s="110"/>
      <c r="BX234" s="110"/>
      <c r="BY234" s="110"/>
      <c r="BZ234" s="110"/>
      <c r="CA234" s="110"/>
      <c r="CB234" s="110"/>
      <c r="CC234" s="110"/>
    </row>
    <row r="235" spans="1:81" ht="12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  <c r="AV235" s="110"/>
      <c r="AW235" s="110"/>
      <c r="AX235" s="110"/>
      <c r="AY235" s="110"/>
      <c r="AZ235" s="110"/>
      <c r="BA235" s="110"/>
      <c r="BB235" s="110"/>
      <c r="BC235" s="110"/>
      <c r="BD235" s="110"/>
      <c r="BE235" s="110"/>
      <c r="BF235" s="110"/>
      <c r="BG235" s="110"/>
      <c r="BH235" s="110"/>
      <c r="BI235" s="110"/>
      <c r="BJ235" s="110"/>
      <c r="BK235" s="110"/>
      <c r="BL235" s="110"/>
      <c r="BM235" s="110"/>
      <c r="BN235" s="110"/>
      <c r="BO235" s="110"/>
      <c r="BP235" s="110"/>
      <c r="BQ235" s="110"/>
      <c r="BR235" s="110"/>
      <c r="BS235" s="110"/>
      <c r="BT235" s="110"/>
      <c r="BU235" s="110"/>
      <c r="BV235" s="110"/>
      <c r="BW235" s="110"/>
      <c r="BX235" s="110"/>
      <c r="BY235" s="110"/>
      <c r="BZ235" s="110"/>
      <c r="CA235" s="110"/>
      <c r="CB235" s="110"/>
      <c r="CC235" s="110"/>
    </row>
    <row r="236" spans="1:81" ht="12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  <c r="AV236" s="110"/>
      <c r="AW236" s="110"/>
      <c r="AX236" s="110"/>
      <c r="AY236" s="110"/>
      <c r="AZ236" s="110"/>
      <c r="BA236" s="110"/>
      <c r="BB236" s="110"/>
      <c r="BC236" s="110"/>
      <c r="BD236" s="110"/>
      <c r="BE236" s="110"/>
      <c r="BF236" s="110"/>
      <c r="BG236" s="110"/>
      <c r="BH236" s="110"/>
      <c r="BI236" s="110"/>
      <c r="BJ236" s="110"/>
      <c r="BK236" s="110"/>
      <c r="BL236" s="110"/>
      <c r="BM236" s="110"/>
      <c r="BN236" s="110"/>
      <c r="BO236" s="110"/>
      <c r="BP236" s="110"/>
      <c r="BQ236" s="110"/>
      <c r="BR236" s="110"/>
      <c r="BS236" s="110"/>
      <c r="BT236" s="110"/>
      <c r="BU236" s="110"/>
      <c r="BV236" s="110"/>
      <c r="BW236" s="110"/>
      <c r="BX236" s="110"/>
      <c r="BY236" s="110"/>
      <c r="BZ236" s="110"/>
      <c r="CA236" s="110"/>
      <c r="CB236" s="110"/>
      <c r="CC236" s="110"/>
    </row>
    <row r="237" spans="1:81" ht="12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  <c r="AV237" s="110"/>
      <c r="AW237" s="110"/>
      <c r="AX237" s="110"/>
      <c r="AY237" s="110"/>
      <c r="AZ237" s="110"/>
      <c r="BA237" s="110"/>
      <c r="BB237" s="110"/>
      <c r="BC237" s="110"/>
      <c r="BD237" s="110"/>
      <c r="BE237" s="110"/>
      <c r="BF237" s="110"/>
      <c r="BG237" s="110"/>
      <c r="BH237" s="110"/>
      <c r="BI237" s="110"/>
      <c r="BJ237" s="110"/>
      <c r="BK237" s="110"/>
      <c r="BL237" s="110"/>
      <c r="BM237" s="110"/>
      <c r="BN237" s="110"/>
      <c r="BO237" s="110"/>
      <c r="BP237" s="110"/>
      <c r="BQ237" s="110"/>
      <c r="BR237" s="110"/>
      <c r="BS237" s="110"/>
      <c r="BT237" s="110"/>
      <c r="BU237" s="110"/>
      <c r="BV237" s="110"/>
      <c r="BW237" s="110"/>
      <c r="BX237" s="110"/>
      <c r="BY237" s="110"/>
      <c r="BZ237" s="110"/>
      <c r="CA237" s="110"/>
      <c r="CB237" s="110"/>
      <c r="CC237" s="110"/>
    </row>
    <row r="238" spans="1:81" ht="12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  <c r="AV238" s="110"/>
      <c r="AW238" s="110"/>
      <c r="AX238" s="110"/>
      <c r="AY238" s="110"/>
      <c r="AZ238" s="110"/>
      <c r="BA238" s="110"/>
      <c r="BB238" s="110"/>
      <c r="BC238" s="110"/>
      <c r="BD238" s="110"/>
      <c r="BE238" s="110"/>
      <c r="BF238" s="110"/>
      <c r="BG238" s="110"/>
      <c r="BH238" s="110"/>
      <c r="BI238" s="110"/>
      <c r="BJ238" s="110"/>
      <c r="BK238" s="110"/>
      <c r="BL238" s="110"/>
      <c r="BM238" s="110"/>
      <c r="BN238" s="110"/>
      <c r="BO238" s="110"/>
      <c r="BP238" s="110"/>
      <c r="BQ238" s="110"/>
      <c r="BR238" s="110"/>
      <c r="BS238" s="110"/>
      <c r="BT238" s="110"/>
      <c r="BU238" s="110"/>
      <c r="BV238" s="110"/>
      <c r="BW238" s="110"/>
      <c r="BX238" s="110"/>
      <c r="BY238" s="110"/>
      <c r="BZ238" s="110"/>
      <c r="CA238" s="110"/>
      <c r="CB238" s="110"/>
      <c r="CC238" s="110"/>
    </row>
    <row r="239" spans="1:81" ht="12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  <c r="AW239" s="110"/>
      <c r="AX239" s="110"/>
      <c r="AY239" s="110"/>
      <c r="AZ239" s="110"/>
      <c r="BA239" s="110"/>
      <c r="BB239" s="110"/>
      <c r="BC239" s="110"/>
      <c r="BD239" s="110"/>
      <c r="BE239" s="110"/>
      <c r="BF239" s="110"/>
      <c r="BG239" s="110"/>
      <c r="BH239" s="110"/>
      <c r="BI239" s="110"/>
      <c r="BJ239" s="110"/>
      <c r="BK239" s="110"/>
      <c r="BL239" s="110"/>
      <c r="BM239" s="110"/>
      <c r="BN239" s="110"/>
      <c r="BO239" s="110"/>
      <c r="BP239" s="110"/>
      <c r="BQ239" s="110"/>
      <c r="BR239" s="110"/>
      <c r="BS239" s="110"/>
      <c r="BT239" s="110"/>
      <c r="BU239" s="110"/>
      <c r="BV239" s="110"/>
      <c r="BW239" s="110"/>
      <c r="BX239" s="110"/>
      <c r="BY239" s="110"/>
      <c r="BZ239" s="110"/>
      <c r="CA239" s="110"/>
      <c r="CB239" s="110"/>
      <c r="CC239" s="110"/>
    </row>
    <row r="240" spans="1:81" ht="12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  <c r="AW240" s="110"/>
      <c r="AX240" s="110"/>
      <c r="AY240" s="110"/>
      <c r="AZ240" s="110"/>
      <c r="BA240" s="110"/>
      <c r="BB240" s="110"/>
      <c r="BC240" s="110"/>
      <c r="BD240" s="110"/>
      <c r="BE240" s="110"/>
      <c r="BF240" s="110"/>
      <c r="BG240" s="110"/>
      <c r="BH240" s="110"/>
      <c r="BI240" s="110"/>
      <c r="BJ240" s="110"/>
      <c r="BK240" s="110"/>
      <c r="BL240" s="110"/>
      <c r="BM240" s="110"/>
      <c r="BN240" s="110"/>
      <c r="BO240" s="110"/>
      <c r="BP240" s="110"/>
      <c r="BQ240" s="110"/>
      <c r="BR240" s="110"/>
      <c r="BS240" s="110"/>
      <c r="BT240" s="110"/>
      <c r="BU240" s="110"/>
      <c r="BV240" s="110"/>
      <c r="BW240" s="110"/>
      <c r="BX240" s="110"/>
      <c r="BY240" s="110"/>
      <c r="BZ240" s="110"/>
      <c r="CA240" s="110"/>
      <c r="CB240" s="110"/>
      <c r="CC240" s="110"/>
    </row>
    <row r="241" spans="1:81" ht="12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  <c r="AV241" s="110"/>
      <c r="AW241" s="110"/>
      <c r="AX241" s="110"/>
      <c r="AY241" s="110"/>
      <c r="AZ241" s="110"/>
      <c r="BA241" s="110"/>
      <c r="BB241" s="110"/>
      <c r="BC241" s="110"/>
      <c r="BD241" s="110"/>
      <c r="BE241" s="110"/>
      <c r="BF241" s="110"/>
      <c r="BG241" s="110"/>
      <c r="BH241" s="110"/>
      <c r="BI241" s="110"/>
      <c r="BJ241" s="110"/>
      <c r="BK241" s="110"/>
      <c r="BL241" s="110"/>
      <c r="BM241" s="110"/>
      <c r="BN241" s="110"/>
      <c r="BO241" s="110"/>
      <c r="BP241" s="110"/>
      <c r="BQ241" s="110"/>
      <c r="BR241" s="110"/>
      <c r="BS241" s="110"/>
      <c r="BT241" s="110"/>
      <c r="BU241" s="110"/>
      <c r="BV241" s="110"/>
      <c r="BW241" s="110"/>
      <c r="BX241" s="110"/>
      <c r="BY241" s="110"/>
      <c r="BZ241" s="110"/>
      <c r="CA241" s="110"/>
      <c r="CB241" s="110"/>
      <c r="CC241" s="110"/>
    </row>
    <row r="242" spans="1:81" ht="12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  <c r="AV242" s="110"/>
      <c r="AW242" s="110"/>
      <c r="AX242" s="110"/>
      <c r="AY242" s="110"/>
      <c r="AZ242" s="110"/>
      <c r="BA242" s="110"/>
      <c r="BB242" s="110"/>
      <c r="BC242" s="110"/>
      <c r="BD242" s="110"/>
      <c r="BE242" s="110"/>
      <c r="BF242" s="110"/>
      <c r="BG242" s="110"/>
      <c r="BH242" s="110"/>
      <c r="BI242" s="110"/>
      <c r="BJ242" s="110"/>
      <c r="BK242" s="110"/>
      <c r="BL242" s="110"/>
      <c r="BM242" s="110"/>
      <c r="BN242" s="110"/>
      <c r="BO242" s="110"/>
      <c r="BP242" s="110"/>
      <c r="BQ242" s="110"/>
      <c r="BR242" s="110"/>
      <c r="BS242" s="110"/>
      <c r="BT242" s="110"/>
      <c r="BU242" s="110"/>
      <c r="BV242" s="110"/>
      <c r="BW242" s="110"/>
      <c r="BX242" s="110"/>
      <c r="BY242" s="110"/>
      <c r="BZ242" s="110"/>
      <c r="CA242" s="110"/>
      <c r="CB242" s="110"/>
      <c r="CC242" s="110"/>
    </row>
    <row r="243" spans="1:81" ht="12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  <c r="AV243" s="110"/>
      <c r="AW243" s="110"/>
      <c r="AX243" s="110"/>
      <c r="AY243" s="110"/>
      <c r="AZ243" s="110"/>
      <c r="BA243" s="110"/>
      <c r="BB243" s="110"/>
      <c r="BC243" s="110"/>
      <c r="BD243" s="110"/>
      <c r="BE243" s="110"/>
      <c r="BF243" s="110"/>
      <c r="BG243" s="110"/>
      <c r="BH243" s="110"/>
      <c r="BI243" s="110"/>
      <c r="BJ243" s="110"/>
      <c r="BK243" s="110"/>
      <c r="BL243" s="110"/>
      <c r="BM243" s="110"/>
      <c r="BN243" s="110"/>
      <c r="BO243" s="110"/>
      <c r="BP243" s="110"/>
      <c r="BQ243" s="110"/>
      <c r="BR243" s="110"/>
      <c r="BS243" s="110"/>
      <c r="BT243" s="110"/>
      <c r="BU243" s="110"/>
      <c r="BV243" s="110"/>
      <c r="BW243" s="110"/>
      <c r="BX243" s="110"/>
      <c r="BY243" s="110"/>
      <c r="BZ243" s="110"/>
      <c r="CA243" s="110"/>
      <c r="CB243" s="110"/>
      <c r="CC243" s="110"/>
    </row>
    <row r="244" spans="1:81" ht="12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  <c r="AV244" s="110"/>
      <c r="AW244" s="110"/>
      <c r="AX244" s="110"/>
      <c r="AY244" s="110"/>
      <c r="AZ244" s="110"/>
      <c r="BA244" s="110"/>
      <c r="BB244" s="110"/>
      <c r="BC244" s="110"/>
      <c r="BD244" s="110"/>
      <c r="BE244" s="110"/>
      <c r="BF244" s="110"/>
      <c r="BG244" s="110"/>
      <c r="BH244" s="110"/>
      <c r="BI244" s="110"/>
      <c r="BJ244" s="110"/>
      <c r="BK244" s="110"/>
      <c r="BL244" s="110"/>
      <c r="BM244" s="110"/>
      <c r="BN244" s="110"/>
      <c r="BO244" s="110"/>
      <c r="BP244" s="110"/>
      <c r="BQ244" s="110"/>
      <c r="BR244" s="110"/>
      <c r="BS244" s="110"/>
      <c r="BT244" s="110"/>
      <c r="BU244" s="110"/>
      <c r="BV244" s="110"/>
      <c r="BW244" s="110"/>
      <c r="BX244" s="110"/>
      <c r="BY244" s="110"/>
      <c r="BZ244" s="110"/>
      <c r="CA244" s="110"/>
      <c r="CB244" s="110"/>
      <c r="CC244" s="110"/>
    </row>
    <row r="245" spans="1:81" ht="12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  <c r="AV245" s="110"/>
      <c r="AW245" s="110"/>
      <c r="AX245" s="110"/>
      <c r="AY245" s="110"/>
      <c r="AZ245" s="110"/>
      <c r="BA245" s="110"/>
      <c r="BB245" s="110"/>
      <c r="BC245" s="110"/>
      <c r="BD245" s="110"/>
      <c r="BE245" s="110"/>
      <c r="BF245" s="110"/>
      <c r="BG245" s="110"/>
      <c r="BH245" s="110"/>
      <c r="BI245" s="110"/>
      <c r="BJ245" s="110"/>
      <c r="BK245" s="110"/>
      <c r="BL245" s="110"/>
      <c r="BM245" s="110"/>
      <c r="BN245" s="110"/>
      <c r="BO245" s="110"/>
      <c r="BP245" s="110"/>
      <c r="BQ245" s="110"/>
      <c r="BR245" s="110"/>
      <c r="BS245" s="110"/>
      <c r="BT245" s="110"/>
      <c r="BU245" s="110"/>
      <c r="BV245" s="110"/>
      <c r="BW245" s="110"/>
      <c r="BX245" s="110"/>
      <c r="BY245" s="110"/>
      <c r="BZ245" s="110"/>
      <c r="CA245" s="110"/>
      <c r="CB245" s="110"/>
      <c r="CC245" s="110"/>
    </row>
    <row r="246" spans="1:81" ht="12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  <c r="AV246" s="110"/>
      <c r="AW246" s="110"/>
      <c r="AX246" s="110"/>
      <c r="AY246" s="110"/>
      <c r="AZ246" s="110"/>
      <c r="BA246" s="110"/>
      <c r="BB246" s="110"/>
      <c r="BC246" s="110"/>
      <c r="BD246" s="110"/>
      <c r="BE246" s="110"/>
      <c r="BF246" s="110"/>
      <c r="BG246" s="110"/>
      <c r="BH246" s="110"/>
      <c r="BI246" s="110"/>
      <c r="BJ246" s="110"/>
      <c r="BK246" s="110"/>
      <c r="BL246" s="110"/>
      <c r="BM246" s="110"/>
      <c r="BN246" s="110"/>
      <c r="BO246" s="110"/>
      <c r="BP246" s="110"/>
      <c r="BQ246" s="110"/>
      <c r="BR246" s="110"/>
      <c r="BS246" s="110"/>
      <c r="BT246" s="110"/>
      <c r="BU246" s="110"/>
      <c r="BV246" s="110"/>
      <c r="BW246" s="110"/>
      <c r="BX246" s="110"/>
      <c r="BY246" s="110"/>
      <c r="BZ246" s="110"/>
      <c r="CA246" s="110"/>
      <c r="CB246" s="110"/>
      <c r="CC246" s="110"/>
    </row>
    <row r="247" spans="1:81" ht="12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  <c r="AV247" s="110"/>
      <c r="AW247" s="110"/>
      <c r="AX247" s="110"/>
      <c r="AY247" s="110"/>
      <c r="AZ247" s="110"/>
      <c r="BA247" s="110"/>
      <c r="BB247" s="110"/>
      <c r="BC247" s="110"/>
      <c r="BD247" s="110"/>
      <c r="BE247" s="110"/>
      <c r="BF247" s="110"/>
      <c r="BG247" s="110"/>
      <c r="BH247" s="110"/>
      <c r="BI247" s="110"/>
      <c r="BJ247" s="110"/>
      <c r="BK247" s="110"/>
      <c r="BL247" s="110"/>
      <c r="BM247" s="110"/>
      <c r="BN247" s="110"/>
      <c r="BO247" s="110"/>
      <c r="BP247" s="110"/>
      <c r="BQ247" s="110"/>
      <c r="BR247" s="110"/>
      <c r="BS247" s="110"/>
      <c r="BT247" s="110"/>
      <c r="BU247" s="110"/>
      <c r="BV247" s="110"/>
      <c r="BW247" s="110"/>
      <c r="BX247" s="110"/>
      <c r="BY247" s="110"/>
      <c r="BZ247" s="110"/>
      <c r="CA247" s="110"/>
      <c r="CB247" s="110"/>
      <c r="CC247" s="110"/>
    </row>
    <row r="248" spans="1:81" ht="12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  <c r="AV248" s="110"/>
      <c r="AW248" s="110"/>
      <c r="AX248" s="110"/>
      <c r="AY248" s="110"/>
      <c r="AZ248" s="110"/>
      <c r="BA248" s="110"/>
      <c r="BB248" s="110"/>
      <c r="BC248" s="110"/>
      <c r="BD248" s="110"/>
      <c r="BE248" s="110"/>
      <c r="BF248" s="110"/>
      <c r="BG248" s="110"/>
      <c r="BH248" s="110"/>
      <c r="BI248" s="110"/>
      <c r="BJ248" s="110"/>
      <c r="BK248" s="110"/>
      <c r="BL248" s="110"/>
      <c r="BM248" s="110"/>
      <c r="BN248" s="110"/>
      <c r="BO248" s="110"/>
      <c r="BP248" s="110"/>
      <c r="BQ248" s="110"/>
      <c r="BR248" s="110"/>
      <c r="BS248" s="110"/>
      <c r="BT248" s="110"/>
      <c r="BU248" s="110"/>
      <c r="BV248" s="110"/>
      <c r="BW248" s="110"/>
      <c r="BX248" s="110"/>
      <c r="BY248" s="110"/>
      <c r="BZ248" s="110"/>
      <c r="CA248" s="110"/>
      <c r="CB248" s="110"/>
      <c r="CC248" s="110"/>
    </row>
    <row r="249" spans="1:81" ht="12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0"/>
      <c r="AW249" s="110"/>
      <c r="AX249" s="110"/>
      <c r="AY249" s="110"/>
      <c r="AZ249" s="110"/>
      <c r="BA249" s="110"/>
      <c r="BB249" s="110"/>
      <c r="BC249" s="110"/>
      <c r="BD249" s="110"/>
      <c r="BE249" s="110"/>
      <c r="BF249" s="110"/>
      <c r="BG249" s="110"/>
      <c r="BH249" s="110"/>
      <c r="BI249" s="110"/>
      <c r="BJ249" s="110"/>
      <c r="BK249" s="110"/>
      <c r="BL249" s="110"/>
      <c r="BM249" s="110"/>
      <c r="BN249" s="110"/>
      <c r="BO249" s="110"/>
      <c r="BP249" s="110"/>
      <c r="BQ249" s="110"/>
      <c r="BR249" s="110"/>
      <c r="BS249" s="110"/>
      <c r="BT249" s="110"/>
      <c r="BU249" s="110"/>
      <c r="BV249" s="110"/>
      <c r="BW249" s="110"/>
      <c r="BX249" s="110"/>
      <c r="BY249" s="110"/>
      <c r="BZ249" s="110"/>
      <c r="CA249" s="110"/>
      <c r="CB249" s="110"/>
      <c r="CC249" s="110"/>
    </row>
    <row r="250" spans="1:81" ht="12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0"/>
      <c r="AW250" s="110"/>
      <c r="AX250" s="110"/>
      <c r="AY250" s="110"/>
      <c r="AZ250" s="110"/>
      <c r="BA250" s="110"/>
      <c r="BB250" s="110"/>
      <c r="BC250" s="110"/>
      <c r="BD250" s="110"/>
      <c r="BE250" s="110"/>
      <c r="BF250" s="110"/>
      <c r="BG250" s="110"/>
      <c r="BH250" s="110"/>
      <c r="BI250" s="110"/>
      <c r="BJ250" s="110"/>
      <c r="BK250" s="110"/>
      <c r="BL250" s="110"/>
      <c r="BM250" s="110"/>
      <c r="BN250" s="110"/>
      <c r="BO250" s="110"/>
      <c r="BP250" s="110"/>
      <c r="BQ250" s="110"/>
      <c r="BR250" s="110"/>
      <c r="BS250" s="110"/>
      <c r="BT250" s="110"/>
      <c r="BU250" s="110"/>
      <c r="BV250" s="110"/>
      <c r="BW250" s="110"/>
      <c r="BX250" s="110"/>
      <c r="BY250" s="110"/>
      <c r="BZ250" s="110"/>
      <c r="CA250" s="110"/>
      <c r="CB250" s="110"/>
      <c r="CC250" s="110"/>
    </row>
    <row r="251" spans="1:81" ht="12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0"/>
      <c r="AW251" s="110"/>
      <c r="AX251" s="110"/>
      <c r="AY251" s="110"/>
      <c r="AZ251" s="110"/>
      <c r="BA251" s="110"/>
      <c r="BB251" s="110"/>
      <c r="BC251" s="110"/>
      <c r="BD251" s="110"/>
      <c r="BE251" s="110"/>
      <c r="BF251" s="110"/>
      <c r="BG251" s="110"/>
      <c r="BH251" s="110"/>
      <c r="BI251" s="110"/>
      <c r="BJ251" s="110"/>
      <c r="BK251" s="110"/>
      <c r="BL251" s="110"/>
      <c r="BM251" s="110"/>
      <c r="BN251" s="110"/>
      <c r="BO251" s="110"/>
      <c r="BP251" s="110"/>
      <c r="BQ251" s="110"/>
      <c r="BR251" s="110"/>
      <c r="BS251" s="110"/>
      <c r="BT251" s="110"/>
      <c r="BU251" s="110"/>
      <c r="BV251" s="110"/>
      <c r="BW251" s="110"/>
      <c r="BX251" s="110"/>
      <c r="BY251" s="110"/>
      <c r="BZ251" s="110"/>
      <c r="CA251" s="110"/>
      <c r="CB251" s="110"/>
      <c r="CC251" s="110"/>
    </row>
    <row r="252" spans="1:81" ht="12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  <c r="AV252" s="110"/>
      <c r="AW252" s="110"/>
      <c r="AX252" s="110"/>
      <c r="AY252" s="110"/>
      <c r="AZ252" s="110"/>
      <c r="BA252" s="110"/>
      <c r="BB252" s="110"/>
      <c r="BC252" s="110"/>
      <c r="BD252" s="110"/>
      <c r="BE252" s="110"/>
      <c r="BF252" s="110"/>
      <c r="BG252" s="110"/>
      <c r="BH252" s="110"/>
      <c r="BI252" s="110"/>
      <c r="BJ252" s="110"/>
      <c r="BK252" s="110"/>
      <c r="BL252" s="110"/>
      <c r="BM252" s="110"/>
      <c r="BN252" s="110"/>
      <c r="BO252" s="110"/>
      <c r="BP252" s="110"/>
      <c r="BQ252" s="110"/>
      <c r="BR252" s="110"/>
      <c r="BS252" s="110"/>
      <c r="BT252" s="110"/>
      <c r="BU252" s="110"/>
      <c r="BV252" s="110"/>
      <c r="BW252" s="110"/>
      <c r="BX252" s="110"/>
      <c r="BY252" s="110"/>
      <c r="BZ252" s="110"/>
      <c r="CA252" s="110"/>
      <c r="CB252" s="110"/>
      <c r="CC252" s="110"/>
    </row>
    <row r="253" spans="1:81" ht="12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  <c r="AV253" s="110"/>
      <c r="AW253" s="110"/>
      <c r="AX253" s="110"/>
      <c r="AY253" s="110"/>
      <c r="AZ253" s="110"/>
      <c r="BA253" s="110"/>
      <c r="BB253" s="110"/>
      <c r="BC253" s="110"/>
      <c r="BD253" s="110"/>
      <c r="BE253" s="110"/>
      <c r="BF253" s="110"/>
      <c r="BG253" s="110"/>
      <c r="BH253" s="110"/>
      <c r="BI253" s="110"/>
      <c r="BJ253" s="110"/>
      <c r="BK253" s="110"/>
      <c r="BL253" s="110"/>
      <c r="BM253" s="110"/>
      <c r="BN253" s="110"/>
      <c r="BO253" s="110"/>
      <c r="BP253" s="110"/>
      <c r="BQ253" s="110"/>
      <c r="BR253" s="110"/>
      <c r="BS253" s="110"/>
      <c r="BT253" s="110"/>
      <c r="BU253" s="110"/>
      <c r="BV253" s="110"/>
      <c r="BW253" s="110"/>
      <c r="BX253" s="110"/>
      <c r="BY253" s="110"/>
      <c r="BZ253" s="110"/>
      <c r="CA253" s="110"/>
      <c r="CB253" s="110"/>
      <c r="CC253" s="110"/>
    </row>
    <row r="254" spans="1:81" ht="12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  <c r="AV254" s="110"/>
      <c r="AW254" s="110"/>
      <c r="AX254" s="110"/>
      <c r="AY254" s="110"/>
      <c r="AZ254" s="110"/>
      <c r="BA254" s="110"/>
      <c r="BB254" s="110"/>
      <c r="BC254" s="110"/>
      <c r="BD254" s="110"/>
      <c r="BE254" s="110"/>
      <c r="BF254" s="110"/>
      <c r="BG254" s="110"/>
      <c r="BH254" s="110"/>
      <c r="BI254" s="110"/>
      <c r="BJ254" s="110"/>
      <c r="BK254" s="110"/>
      <c r="BL254" s="110"/>
      <c r="BM254" s="110"/>
      <c r="BN254" s="110"/>
      <c r="BO254" s="110"/>
      <c r="BP254" s="110"/>
      <c r="BQ254" s="110"/>
      <c r="BR254" s="110"/>
      <c r="BS254" s="110"/>
      <c r="BT254" s="110"/>
      <c r="BU254" s="110"/>
      <c r="BV254" s="110"/>
      <c r="BW254" s="110"/>
      <c r="BX254" s="110"/>
      <c r="BY254" s="110"/>
      <c r="BZ254" s="110"/>
      <c r="CA254" s="110"/>
      <c r="CB254" s="110"/>
      <c r="CC254" s="110"/>
    </row>
    <row r="255" spans="1:81" ht="12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0"/>
      <c r="AW255" s="110"/>
      <c r="AX255" s="110"/>
      <c r="AY255" s="110"/>
      <c r="AZ255" s="110"/>
      <c r="BA255" s="110"/>
      <c r="BB255" s="110"/>
      <c r="BC255" s="110"/>
      <c r="BD255" s="110"/>
      <c r="BE255" s="110"/>
      <c r="BF255" s="110"/>
      <c r="BG255" s="110"/>
      <c r="BH255" s="110"/>
      <c r="BI255" s="110"/>
      <c r="BJ255" s="110"/>
      <c r="BK255" s="110"/>
      <c r="BL255" s="110"/>
      <c r="BM255" s="110"/>
      <c r="BN255" s="110"/>
      <c r="BO255" s="110"/>
      <c r="BP255" s="110"/>
      <c r="BQ255" s="110"/>
      <c r="BR255" s="110"/>
      <c r="BS255" s="110"/>
      <c r="BT255" s="110"/>
      <c r="BU255" s="110"/>
      <c r="BV255" s="110"/>
      <c r="BW255" s="110"/>
      <c r="BX255" s="110"/>
      <c r="BY255" s="110"/>
      <c r="BZ255" s="110"/>
      <c r="CA255" s="110"/>
      <c r="CB255" s="110"/>
      <c r="CC255" s="110"/>
    </row>
    <row r="256" spans="1:81" ht="12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0"/>
      <c r="AW256" s="110"/>
      <c r="AX256" s="110"/>
      <c r="AY256" s="110"/>
      <c r="AZ256" s="110"/>
      <c r="BA256" s="110"/>
      <c r="BB256" s="110"/>
      <c r="BC256" s="110"/>
      <c r="BD256" s="110"/>
      <c r="BE256" s="110"/>
      <c r="BF256" s="110"/>
      <c r="BG256" s="110"/>
      <c r="BH256" s="110"/>
      <c r="BI256" s="110"/>
      <c r="BJ256" s="110"/>
      <c r="BK256" s="110"/>
      <c r="BL256" s="110"/>
      <c r="BM256" s="110"/>
      <c r="BN256" s="110"/>
      <c r="BO256" s="110"/>
      <c r="BP256" s="110"/>
      <c r="BQ256" s="110"/>
      <c r="BR256" s="110"/>
      <c r="BS256" s="110"/>
      <c r="BT256" s="110"/>
      <c r="BU256" s="110"/>
      <c r="BV256" s="110"/>
      <c r="BW256" s="110"/>
      <c r="BX256" s="110"/>
      <c r="BY256" s="110"/>
      <c r="BZ256" s="110"/>
      <c r="CA256" s="110"/>
      <c r="CB256" s="110"/>
      <c r="CC256" s="110"/>
    </row>
    <row r="257" spans="1:81" ht="12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  <c r="AW257" s="110"/>
      <c r="AX257" s="110"/>
      <c r="AY257" s="110"/>
      <c r="AZ257" s="110"/>
      <c r="BA257" s="110"/>
      <c r="BB257" s="110"/>
      <c r="BC257" s="110"/>
      <c r="BD257" s="110"/>
      <c r="BE257" s="110"/>
      <c r="BF257" s="110"/>
      <c r="BG257" s="110"/>
      <c r="BH257" s="110"/>
      <c r="BI257" s="110"/>
      <c r="BJ257" s="110"/>
      <c r="BK257" s="110"/>
      <c r="BL257" s="110"/>
      <c r="BM257" s="110"/>
      <c r="BN257" s="110"/>
      <c r="BO257" s="110"/>
      <c r="BP257" s="110"/>
      <c r="BQ257" s="110"/>
      <c r="BR257" s="110"/>
      <c r="BS257" s="110"/>
      <c r="BT257" s="110"/>
      <c r="BU257" s="110"/>
      <c r="BV257" s="110"/>
      <c r="BW257" s="110"/>
      <c r="BX257" s="110"/>
      <c r="BY257" s="110"/>
      <c r="BZ257" s="110"/>
      <c r="CA257" s="110"/>
      <c r="CB257" s="110"/>
      <c r="CC257" s="110"/>
    </row>
    <row r="258" spans="1:81" ht="12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0"/>
      <c r="AW258" s="110"/>
      <c r="AX258" s="110"/>
      <c r="AY258" s="110"/>
      <c r="AZ258" s="110"/>
      <c r="BA258" s="110"/>
      <c r="BB258" s="110"/>
      <c r="BC258" s="110"/>
      <c r="BD258" s="110"/>
      <c r="BE258" s="110"/>
      <c r="BF258" s="110"/>
      <c r="BG258" s="110"/>
      <c r="BH258" s="110"/>
      <c r="BI258" s="110"/>
      <c r="BJ258" s="110"/>
      <c r="BK258" s="110"/>
      <c r="BL258" s="110"/>
      <c r="BM258" s="110"/>
      <c r="BN258" s="110"/>
      <c r="BO258" s="110"/>
      <c r="BP258" s="110"/>
      <c r="BQ258" s="110"/>
      <c r="BR258" s="110"/>
      <c r="BS258" s="110"/>
      <c r="BT258" s="110"/>
      <c r="BU258" s="110"/>
      <c r="BV258" s="110"/>
      <c r="BW258" s="110"/>
      <c r="BX258" s="110"/>
      <c r="BY258" s="110"/>
      <c r="BZ258" s="110"/>
      <c r="CA258" s="110"/>
      <c r="CB258" s="110"/>
      <c r="CC258" s="110"/>
    </row>
    <row r="259" spans="1:81" ht="12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0"/>
      <c r="AW259" s="110"/>
      <c r="AX259" s="110"/>
      <c r="AY259" s="110"/>
      <c r="AZ259" s="110"/>
      <c r="BA259" s="110"/>
      <c r="BB259" s="110"/>
      <c r="BC259" s="110"/>
      <c r="BD259" s="110"/>
      <c r="BE259" s="110"/>
      <c r="BF259" s="110"/>
      <c r="BG259" s="110"/>
      <c r="BH259" s="110"/>
      <c r="BI259" s="110"/>
      <c r="BJ259" s="110"/>
      <c r="BK259" s="110"/>
      <c r="BL259" s="110"/>
      <c r="BM259" s="110"/>
      <c r="BN259" s="110"/>
      <c r="BO259" s="110"/>
      <c r="BP259" s="110"/>
      <c r="BQ259" s="110"/>
      <c r="BR259" s="110"/>
      <c r="BS259" s="110"/>
      <c r="BT259" s="110"/>
      <c r="BU259" s="110"/>
      <c r="BV259" s="110"/>
      <c r="BW259" s="110"/>
      <c r="BX259" s="110"/>
      <c r="BY259" s="110"/>
      <c r="BZ259" s="110"/>
      <c r="CA259" s="110"/>
      <c r="CB259" s="110"/>
      <c r="CC259" s="110"/>
    </row>
    <row r="260" spans="1:81" ht="12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0"/>
      <c r="AW260" s="110"/>
      <c r="AX260" s="110"/>
      <c r="AY260" s="110"/>
      <c r="AZ260" s="110"/>
      <c r="BA260" s="110"/>
      <c r="BB260" s="110"/>
      <c r="BC260" s="110"/>
      <c r="BD260" s="110"/>
      <c r="BE260" s="110"/>
      <c r="BF260" s="110"/>
      <c r="BG260" s="110"/>
      <c r="BH260" s="110"/>
      <c r="BI260" s="110"/>
      <c r="BJ260" s="110"/>
      <c r="BK260" s="110"/>
      <c r="BL260" s="110"/>
      <c r="BM260" s="110"/>
      <c r="BN260" s="110"/>
      <c r="BO260" s="110"/>
      <c r="BP260" s="110"/>
      <c r="BQ260" s="110"/>
      <c r="BR260" s="110"/>
      <c r="BS260" s="110"/>
      <c r="BT260" s="110"/>
      <c r="BU260" s="110"/>
      <c r="BV260" s="110"/>
      <c r="BW260" s="110"/>
      <c r="BX260" s="110"/>
      <c r="BY260" s="110"/>
      <c r="BZ260" s="110"/>
      <c r="CA260" s="110"/>
      <c r="CB260" s="110"/>
      <c r="CC260" s="110"/>
    </row>
    <row r="261" spans="1:81" ht="12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  <c r="AV261" s="110"/>
      <c r="AW261" s="110"/>
      <c r="AX261" s="110"/>
      <c r="AY261" s="110"/>
      <c r="AZ261" s="110"/>
      <c r="BA261" s="110"/>
      <c r="BB261" s="110"/>
      <c r="BC261" s="110"/>
      <c r="BD261" s="110"/>
      <c r="BE261" s="110"/>
      <c r="BF261" s="110"/>
      <c r="BG261" s="110"/>
      <c r="BH261" s="110"/>
      <c r="BI261" s="110"/>
      <c r="BJ261" s="110"/>
      <c r="BK261" s="110"/>
      <c r="BL261" s="110"/>
      <c r="BM261" s="110"/>
      <c r="BN261" s="110"/>
      <c r="BO261" s="110"/>
      <c r="BP261" s="110"/>
      <c r="BQ261" s="110"/>
      <c r="BR261" s="110"/>
      <c r="BS261" s="110"/>
      <c r="BT261" s="110"/>
      <c r="BU261" s="110"/>
      <c r="BV261" s="110"/>
      <c r="BW261" s="110"/>
      <c r="BX261" s="110"/>
      <c r="BY261" s="110"/>
      <c r="BZ261" s="110"/>
      <c r="CA261" s="110"/>
      <c r="CB261" s="110"/>
      <c r="CC261" s="110"/>
    </row>
    <row r="262" spans="1:81" ht="12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  <c r="AW262" s="110"/>
      <c r="AX262" s="110"/>
      <c r="AY262" s="110"/>
      <c r="AZ262" s="110"/>
      <c r="BA262" s="110"/>
      <c r="BB262" s="110"/>
      <c r="BC262" s="110"/>
      <c r="BD262" s="110"/>
      <c r="BE262" s="110"/>
      <c r="BF262" s="110"/>
      <c r="BG262" s="110"/>
      <c r="BH262" s="110"/>
      <c r="BI262" s="110"/>
      <c r="BJ262" s="110"/>
      <c r="BK262" s="110"/>
      <c r="BL262" s="110"/>
      <c r="BM262" s="110"/>
      <c r="BN262" s="110"/>
      <c r="BO262" s="110"/>
      <c r="BP262" s="110"/>
      <c r="BQ262" s="110"/>
      <c r="BR262" s="110"/>
      <c r="BS262" s="110"/>
      <c r="BT262" s="110"/>
      <c r="BU262" s="110"/>
      <c r="BV262" s="110"/>
      <c r="BW262" s="110"/>
      <c r="BX262" s="110"/>
      <c r="BY262" s="110"/>
      <c r="BZ262" s="110"/>
      <c r="CA262" s="110"/>
      <c r="CB262" s="110"/>
      <c r="CC262" s="110"/>
    </row>
    <row r="263" spans="1:81" ht="12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  <c r="AV263" s="110"/>
      <c r="AW263" s="110"/>
      <c r="AX263" s="110"/>
      <c r="AY263" s="110"/>
      <c r="AZ263" s="110"/>
      <c r="BA263" s="110"/>
      <c r="BB263" s="110"/>
      <c r="BC263" s="110"/>
      <c r="BD263" s="110"/>
      <c r="BE263" s="110"/>
      <c r="BF263" s="110"/>
      <c r="BG263" s="110"/>
      <c r="BH263" s="110"/>
      <c r="BI263" s="110"/>
      <c r="BJ263" s="110"/>
      <c r="BK263" s="110"/>
      <c r="BL263" s="110"/>
      <c r="BM263" s="110"/>
      <c r="BN263" s="110"/>
      <c r="BO263" s="110"/>
      <c r="BP263" s="110"/>
      <c r="BQ263" s="110"/>
      <c r="BR263" s="110"/>
      <c r="BS263" s="110"/>
      <c r="BT263" s="110"/>
      <c r="BU263" s="110"/>
      <c r="BV263" s="110"/>
      <c r="BW263" s="110"/>
      <c r="BX263" s="110"/>
      <c r="BY263" s="110"/>
      <c r="BZ263" s="110"/>
      <c r="CA263" s="110"/>
      <c r="CB263" s="110"/>
      <c r="CC263" s="110"/>
    </row>
    <row r="264" spans="1:81" ht="12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  <c r="AV264" s="110"/>
      <c r="AW264" s="110"/>
      <c r="AX264" s="110"/>
      <c r="AY264" s="110"/>
      <c r="AZ264" s="110"/>
      <c r="BA264" s="110"/>
      <c r="BB264" s="110"/>
      <c r="BC264" s="110"/>
      <c r="BD264" s="110"/>
      <c r="BE264" s="110"/>
      <c r="BF264" s="110"/>
      <c r="BG264" s="110"/>
      <c r="BH264" s="110"/>
      <c r="BI264" s="110"/>
      <c r="BJ264" s="110"/>
      <c r="BK264" s="110"/>
      <c r="BL264" s="110"/>
      <c r="BM264" s="110"/>
      <c r="BN264" s="110"/>
      <c r="BO264" s="110"/>
      <c r="BP264" s="110"/>
      <c r="BQ264" s="110"/>
      <c r="BR264" s="110"/>
      <c r="BS264" s="110"/>
      <c r="BT264" s="110"/>
      <c r="BU264" s="110"/>
      <c r="BV264" s="110"/>
      <c r="BW264" s="110"/>
      <c r="BX264" s="110"/>
      <c r="BY264" s="110"/>
      <c r="BZ264" s="110"/>
      <c r="CA264" s="110"/>
      <c r="CB264" s="110"/>
      <c r="CC264" s="110"/>
    </row>
    <row r="265" spans="1:81" ht="12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  <c r="AV265" s="110"/>
      <c r="AW265" s="110"/>
      <c r="AX265" s="110"/>
      <c r="AY265" s="110"/>
      <c r="AZ265" s="110"/>
      <c r="BA265" s="110"/>
      <c r="BB265" s="110"/>
      <c r="BC265" s="110"/>
      <c r="BD265" s="110"/>
      <c r="BE265" s="110"/>
      <c r="BF265" s="110"/>
      <c r="BG265" s="110"/>
      <c r="BH265" s="110"/>
      <c r="BI265" s="110"/>
      <c r="BJ265" s="110"/>
      <c r="BK265" s="110"/>
      <c r="BL265" s="110"/>
      <c r="BM265" s="110"/>
      <c r="BN265" s="110"/>
      <c r="BO265" s="110"/>
      <c r="BP265" s="110"/>
      <c r="BQ265" s="110"/>
      <c r="BR265" s="110"/>
      <c r="BS265" s="110"/>
      <c r="BT265" s="110"/>
      <c r="BU265" s="110"/>
      <c r="BV265" s="110"/>
      <c r="BW265" s="110"/>
      <c r="BX265" s="110"/>
      <c r="BY265" s="110"/>
      <c r="BZ265" s="110"/>
      <c r="CA265" s="110"/>
      <c r="CB265" s="110"/>
      <c r="CC265" s="110"/>
    </row>
    <row r="266" spans="1:81" ht="12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  <c r="AV266" s="110"/>
      <c r="AW266" s="110"/>
      <c r="AX266" s="110"/>
      <c r="AY266" s="110"/>
      <c r="AZ266" s="110"/>
      <c r="BA266" s="110"/>
      <c r="BB266" s="110"/>
      <c r="BC266" s="110"/>
      <c r="BD266" s="110"/>
      <c r="BE266" s="110"/>
      <c r="BF266" s="110"/>
      <c r="BG266" s="110"/>
      <c r="BH266" s="110"/>
      <c r="BI266" s="110"/>
      <c r="BJ266" s="110"/>
      <c r="BK266" s="110"/>
      <c r="BL266" s="110"/>
      <c r="BM266" s="110"/>
      <c r="BN266" s="110"/>
      <c r="BO266" s="110"/>
      <c r="BP266" s="110"/>
      <c r="BQ266" s="110"/>
      <c r="BR266" s="110"/>
      <c r="BS266" s="110"/>
      <c r="BT266" s="110"/>
      <c r="BU266" s="110"/>
      <c r="BV266" s="110"/>
      <c r="BW266" s="110"/>
      <c r="BX266" s="110"/>
      <c r="BY266" s="110"/>
      <c r="BZ266" s="110"/>
      <c r="CA266" s="110"/>
      <c r="CB266" s="110"/>
      <c r="CC266" s="110"/>
    </row>
    <row r="267" spans="1:81" ht="12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  <c r="AV267" s="110"/>
      <c r="AW267" s="110"/>
      <c r="AX267" s="110"/>
      <c r="AY267" s="110"/>
      <c r="AZ267" s="110"/>
      <c r="BA267" s="110"/>
      <c r="BB267" s="110"/>
      <c r="BC267" s="110"/>
      <c r="BD267" s="110"/>
      <c r="BE267" s="110"/>
      <c r="BF267" s="110"/>
      <c r="BG267" s="110"/>
      <c r="BH267" s="110"/>
      <c r="BI267" s="110"/>
      <c r="BJ267" s="110"/>
      <c r="BK267" s="110"/>
      <c r="BL267" s="110"/>
      <c r="BM267" s="110"/>
      <c r="BN267" s="110"/>
      <c r="BO267" s="110"/>
      <c r="BP267" s="110"/>
      <c r="BQ267" s="110"/>
      <c r="BR267" s="110"/>
      <c r="BS267" s="110"/>
      <c r="BT267" s="110"/>
      <c r="BU267" s="110"/>
      <c r="BV267" s="110"/>
      <c r="BW267" s="110"/>
      <c r="BX267" s="110"/>
      <c r="BY267" s="110"/>
      <c r="BZ267" s="110"/>
      <c r="CA267" s="110"/>
      <c r="CB267" s="110"/>
      <c r="CC267" s="110"/>
    </row>
    <row r="268" spans="1:81" ht="12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  <c r="AV268" s="110"/>
      <c r="AW268" s="110"/>
      <c r="AX268" s="110"/>
      <c r="AY268" s="110"/>
      <c r="AZ268" s="110"/>
      <c r="BA268" s="110"/>
      <c r="BB268" s="110"/>
      <c r="BC268" s="110"/>
      <c r="BD268" s="110"/>
      <c r="BE268" s="110"/>
      <c r="BF268" s="110"/>
      <c r="BG268" s="110"/>
      <c r="BH268" s="110"/>
      <c r="BI268" s="110"/>
      <c r="BJ268" s="110"/>
      <c r="BK268" s="110"/>
      <c r="BL268" s="110"/>
      <c r="BM268" s="110"/>
      <c r="BN268" s="110"/>
      <c r="BO268" s="110"/>
      <c r="BP268" s="110"/>
      <c r="BQ268" s="110"/>
      <c r="BR268" s="110"/>
      <c r="BS268" s="110"/>
      <c r="BT268" s="110"/>
      <c r="BU268" s="110"/>
      <c r="BV268" s="110"/>
      <c r="BW268" s="110"/>
      <c r="BX268" s="110"/>
      <c r="BY268" s="110"/>
      <c r="BZ268" s="110"/>
      <c r="CA268" s="110"/>
      <c r="CB268" s="110"/>
      <c r="CC268" s="110"/>
    </row>
    <row r="269" spans="1:81" ht="12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  <c r="AW269" s="110"/>
      <c r="AX269" s="110"/>
      <c r="AY269" s="110"/>
      <c r="AZ269" s="110"/>
      <c r="BA269" s="110"/>
      <c r="BB269" s="110"/>
      <c r="BC269" s="110"/>
      <c r="BD269" s="110"/>
      <c r="BE269" s="110"/>
      <c r="BF269" s="110"/>
      <c r="BG269" s="110"/>
      <c r="BH269" s="110"/>
      <c r="BI269" s="110"/>
      <c r="BJ269" s="110"/>
      <c r="BK269" s="110"/>
      <c r="BL269" s="110"/>
      <c r="BM269" s="110"/>
      <c r="BN269" s="110"/>
      <c r="BO269" s="110"/>
      <c r="BP269" s="110"/>
      <c r="BQ269" s="110"/>
      <c r="BR269" s="110"/>
      <c r="BS269" s="110"/>
      <c r="BT269" s="110"/>
      <c r="BU269" s="110"/>
      <c r="BV269" s="110"/>
      <c r="BW269" s="110"/>
      <c r="BX269" s="110"/>
      <c r="BY269" s="110"/>
      <c r="BZ269" s="110"/>
      <c r="CA269" s="110"/>
      <c r="CB269" s="110"/>
      <c r="CC269" s="110"/>
    </row>
    <row r="270" spans="1:81" ht="12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  <c r="AV270" s="110"/>
      <c r="AW270" s="110"/>
      <c r="AX270" s="110"/>
      <c r="AY270" s="110"/>
      <c r="AZ270" s="110"/>
      <c r="BA270" s="110"/>
      <c r="BB270" s="110"/>
      <c r="BC270" s="110"/>
      <c r="BD270" s="110"/>
      <c r="BE270" s="110"/>
      <c r="BF270" s="110"/>
      <c r="BG270" s="110"/>
      <c r="BH270" s="110"/>
      <c r="BI270" s="110"/>
      <c r="BJ270" s="110"/>
      <c r="BK270" s="110"/>
      <c r="BL270" s="110"/>
      <c r="BM270" s="110"/>
      <c r="BN270" s="110"/>
      <c r="BO270" s="110"/>
      <c r="BP270" s="110"/>
      <c r="BQ270" s="110"/>
      <c r="BR270" s="110"/>
      <c r="BS270" s="110"/>
      <c r="BT270" s="110"/>
      <c r="BU270" s="110"/>
      <c r="BV270" s="110"/>
      <c r="BW270" s="110"/>
      <c r="BX270" s="110"/>
      <c r="BY270" s="110"/>
      <c r="BZ270" s="110"/>
      <c r="CA270" s="110"/>
      <c r="CB270" s="110"/>
      <c r="CC270" s="110"/>
    </row>
    <row r="271" spans="1:81" ht="12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  <c r="AV271" s="110"/>
      <c r="AW271" s="110"/>
      <c r="AX271" s="110"/>
      <c r="AY271" s="110"/>
      <c r="AZ271" s="110"/>
      <c r="BA271" s="110"/>
      <c r="BB271" s="110"/>
      <c r="BC271" s="110"/>
      <c r="BD271" s="110"/>
      <c r="BE271" s="110"/>
      <c r="BF271" s="110"/>
      <c r="BG271" s="110"/>
      <c r="BH271" s="110"/>
      <c r="BI271" s="110"/>
      <c r="BJ271" s="110"/>
      <c r="BK271" s="110"/>
      <c r="BL271" s="110"/>
      <c r="BM271" s="110"/>
      <c r="BN271" s="110"/>
      <c r="BO271" s="110"/>
      <c r="BP271" s="110"/>
      <c r="BQ271" s="110"/>
      <c r="BR271" s="110"/>
      <c r="BS271" s="110"/>
      <c r="BT271" s="110"/>
      <c r="BU271" s="110"/>
      <c r="BV271" s="110"/>
      <c r="BW271" s="110"/>
      <c r="BX271" s="110"/>
      <c r="BY271" s="110"/>
      <c r="BZ271" s="110"/>
      <c r="CA271" s="110"/>
      <c r="CB271" s="110"/>
      <c r="CC271" s="110"/>
    </row>
    <row r="272" spans="1:81" ht="12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  <c r="AV272" s="110"/>
      <c r="AW272" s="110"/>
      <c r="AX272" s="110"/>
      <c r="AY272" s="110"/>
      <c r="AZ272" s="110"/>
      <c r="BA272" s="110"/>
      <c r="BB272" s="110"/>
      <c r="BC272" s="110"/>
      <c r="BD272" s="110"/>
      <c r="BE272" s="110"/>
      <c r="BF272" s="110"/>
      <c r="BG272" s="110"/>
      <c r="BH272" s="110"/>
      <c r="BI272" s="110"/>
      <c r="BJ272" s="110"/>
      <c r="BK272" s="110"/>
      <c r="BL272" s="110"/>
      <c r="BM272" s="110"/>
      <c r="BN272" s="110"/>
      <c r="BO272" s="110"/>
      <c r="BP272" s="110"/>
      <c r="BQ272" s="110"/>
      <c r="BR272" s="110"/>
      <c r="BS272" s="110"/>
      <c r="BT272" s="110"/>
      <c r="BU272" s="110"/>
      <c r="BV272" s="110"/>
      <c r="BW272" s="110"/>
      <c r="BX272" s="110"/>
      <c r="BY272" s="110"/>
      <c r="BZ272" s="110"/>
      <c r="CA272" s="110"/>
      <c r="CB272" s="110"/>
      <c r="CC272" s="110"/>
    </row>
    <row r="273" spans="1:81" ht="12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  <c r="AV273" s="110"/>
      <c r="AW273" s="110"/>
      <c r="AX273" s="110"/>
      <c r="AY273" s="110"/>
      <c r="AZ273" s="110"/>
      <c r="BA273" s="110"/>
      <c r="BB273" s="110"/>
      <c r="BC273" s="110"/>
      <c r="BD273" s="110"/>
      <c r="BE273" s="110"/>
      <c r="BF273" s="110"/>
      <c r="BG273" s="110"/>
      <c r="BH273" s="110"/>
      <c r="BI273" s="110"/>
      <c r="BJ273" s="110"/>
      <c r="BK273" s="110"/>
      <c r="BL273" s="110"/>
      <c r="BM273" s="110"/>
      <c r="BN273" s="110"/>
      <c r="BO273" s="110"/>
      <c r="BP273" s="110"/>
      <c r="BQ273" s="110"/>
      <c r="BR273" s="110"/>
      <c r="BS273" s="110"/>
      <c r="BT273" s="110"/>
      <c r="BU273" s="110"/>
      <c r="BV273" s="110"/>
      <c r="BW273" s="110"/>
      <c r="BX273" s="110"/>
      <c r="BY273" s="110"/>
      <c r="BZ273" s="110"/>
      <c r="CA273" s="110"/>
      <c r="CB273" s="110"/>
      <c r="CC273" s="110"/>
    </row>
    <row r="274" spans="1:81" ht="12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  <c r="AV274" s="110"/>
      <c r="AW274" s="110"/>
      <c r="AX274" s="110"/>
      <c r="AY274" s="110"/>
      <c r="AZ274" s="110"/>
      <c r="BA274" s="110"/>
      <c r="BB274" s="110"/>
      <c r="BC274" s="110"/>
      <c r="BD274" s="110"/>
      <c r="BE274" s="110"/>
      <c r="BF274" s="110"/>
      <c r="BG274" s="110"/>
      <c r="BH274" s="110"/>
      <c r="BI274" s="110"/>
      <c r="BJ274" s="110"/>
      <c r="BK274" s="110"/>
      <c r="BL274" s="110"/>
      <c r="BM274" s="110"/>
      <c r="BN274" s="110"/>
      <c r="BO274" s="110"/>
      <c r="BP274" s="110"/>
      <c r="BQ274" s="110"/>
      <c r="BR274" s="110"/>
      <c r="BS274" s="110"/>
      <c r="BT274" s="110"/>
      <c r="BU274" s="110"/>
      <c r="BV274" s="110"/>
      <c r="BW274" s="110"/>
      <c r="BX274" s="110"/>
      <c r="BY274" s="110"/>
      <c r="BZ274" s="110"/>
      <c r="CA274" s="110"/>
      <c r="CB274" s="110"/>
      <c r="CC274" s="110"/>
    </row>
    <row r="275" spans="1:81" ht="12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  <c r="AV275" s="110"/>
      <c r="AW275" s="110"/>
      <c r="AX275" s="110"/>
      <c r="AY275" s="110"/>
      <c r="AZ275" s="110"/>
      <c r="BA275" s="110"/>
      <c r="BB275" s="110"/>
      <c r="BC275" s="110"/>
      <c r="BD275" s="110"/>
      <c r="BE275" s="110"/>
      <c r="BF275" s="110"/>
      <c r="BG275" s="110"/>
      <c r="BH275" s="110"/>
      <c r="BI275" s="110"/>
      <c r="BJ275" s="110"/>
      <c r="BK275" s="110"/>
      <c r="BL275" s="110"/>
      <c r="BM275" s="110"/>
      <c r="BN275" s="110"/>
      <c r="BO275" s="110"/>
      <c r="BP275" s="110"/>
      <c r="BQ275" s="110"/>
      <c r="BR275" s="110"/>
      <c r="BS275" s="110"/>
      <c r="BT275" s="110"/>
      <c r="BU275" s="110"/>
      <c r="BV275" s="110"/>
      <c r="BW275" s="110"/>
      <c r="BX275" s="110"/>
      <c r="BY275" s="110"/>
      <c r="BZ275" s="110"/>
      <c r="CA275" s="110"/>
      <c r="CB275" s="110"/>
      <c r="CC275" s="110"/>
    </row>
    <row r="276" spans="1:81" ht="12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  <c r="AW276" s="110"/>
      <c r="AX276" s="110"/>
      <c r="AY276" s="110"/>
      <c r="AZ276" s="110"/>
      <c r="BA276" s="110"/>
      <c r="BB276" s="110"/>
      <c r="BC276" s="110"/>
      <c r="BD276" s="110"/>
      <c r="BE276" s="110"/>
      <c r="BF276" s="110"/>
      <c r="BG276" s="110"/>
      <c r="BH276" s="110"/>
      <c r="BI276" s="110"/>
      <c r="BJ276" s="110"/>
      <c r="BK276" s="110"/>
      <c r="BL276" s="110"/>
      <c r="BM276" s="110"/>
      <c r="BN276" s="110"/>
      <c r="BO276" s="110"/>
      <c r="BP276" s="110"/>
      <c r="BQ276" s="110"/>
      <c r="BR276" s="110"/>
      <c r="BS276" s="110"/>
      <c r="BT276" s="110"/>
      <c r="BU276" s="110"/>
      <c r="BV276" s="110"/>
      <c r="BW276" s="110"/>
      <c r="BX276" s="110"/>
      <c r="BY276" s="110"/>
      <c r="BZ276" s="110"/>
      <c r="CA276" s="110"/>
      <c r="CB276" s="110"/>
      <c r="CC276" s="110"/>
    </row>
    <row r="277" spans="1:81" ht="12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  <c r="AV277" s="110"/>
      <c r="AW277" s="110"/>
      <c r="AX277" s="110"/>
      <c r="AY277" s="110"/>
      <c r="AZ277" s="110"/>
      <c r="BA277" s="110"/>
      <c r="BB277" s="110"/>
      <c r="BC277" s="110"/>
      <c r="BD277" s="110"/>
      <c r="BE277" s="110"/>
      <c r="BF277" s="110"/>
      <c r="BG277" s="110"/>
      <c r="BH277" s="110"/>
      <c r="BI277" s="110"/>
      <c r="BJ277" s="110"/>
      <c r="BK277" s="110"/>
      <c r="BL277" s="110"/>
      <c r="BM277" s="110"/>
      <c r="BN277" s="110"/>
      <c r="BO277" s="110"/>
      <c r="BP277" s="110"/>
      <c r="BQ277" s="110"/>
      <c r="BR277" s="110"/>
      <c r="BS277" s="110"/>
      <c r="BT277" s="110"/>
      <c r="BU277" s="110"/>
      <c r="BV277" s="110"/>
      <c r="BW277" s="110"/>
      <c r="BX277" s="110"/>
      <c r="BY277" s="110"/>
      <c r="BZ277" s="110"/>
      <c r="CA277" s="110"/>
      <c r="CB277" s="110"/>
      <c r="CC277" s="110"/>
    </row>
    <row r="278" spans="1:81" ht="12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  <c r="AV278" s="110"/>
      <c r="AW278" s="110"/>
      <c r="AX278" s="110"/>
      <c r="AY278" s="110"/>
      <c r="AZ278" s="110"/>
      <c r="BA278" s="110"/>
      <c r="BB278" s="110"/>
      <c r="BC278" s="110"/>
      <c r="BD278" s="110"/>
      <c r="BE278" s="110"/>
      <c r="BF278" s="110"/>
      <c r="BG278" s="110"/>
      <c r="BH278" s="110"/>
      <c r="BI278" s="110"/>
      <c r="BJ278" s="110"/>
      <c r="BK278" s="110"/>
      <c r="BL278" s="110"/>
      <c r="BM278" s="110"/>
      <c r="BN278" s="110"/>
      <c r="BO278" s="110"/>
      <c r="BP278" s="110"/>
      <c r="BQ278" s="110"/>
      <c r="BR278" s="110"/>
      <c r="BS278" s="110"/>
      <c r="BT278" s="110"/>
      <c r="BU278" s="110"/>
      <c r="BV278" s="110"/>
      <c r="BW278" s="110"/>
      <c r="BX278" s="110"/>
      <c r="BY278" s="110"/>
      <c r="BZ278" s="110"/>
      <c r="CA278" s="110"/>
      <c r="CB278" s="110"/>
      <c r="CC278" s="110"/>
    </row>
    <row r="279" spans="1:81" ht="12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0"/>
      <c r="AW279" s="110"/>
      <c r="AX279" s="110"/>
      <c r="AY279" s="110"/>
      <c r="AZ279" s="110"/>
      <c r="BA279" s="110"/>
      <c r="BB279" s="110"/>
      <c r="BC279" s="110"/>
      <c r="BD279" s="110"/>
      <c r="BE279" s="110"/>
      <c r="BF279" s="110"/>
      <c r="BG279" s="110"/>
      <c r="BH279" s="110"/>
      <c r="BI279" s="110"/>
      <c r="BJ279" s="110"/>
      <c r="BK279" s="110"/>
      <c r="BL279" s="110"/>
      <c r="BM279" s="110"/>
      <c r="BN279" s="110"/>
      <c r="BO279" s="110"/>
      <c r="BP279" s="110"/>
      <c r="BQ279" s="110"/>
      <c r="BR279" s="110"/>
      <c r="BS279" s="110"/>
      <c r="BT279" s="110"/>
      <c r="BU279" s="110"/>
      <c r="BV279" s="110"/>
      <c r="BW279" s="110"/>
      <c r="BX279" s="110"/>
      <c r="BY279" s="110"/>
      <c r="BZ279" s="110"/>
      <c r="CA279" s="110"/>
      <c r="CB279" s="110"/>
      <c r="CC279" s="110"/>
    </row>
    <row r="280" spans="1:81" ht="12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0"/>
      <c r="AW280" s="110"/>
      <c r="AX280" s="110"/>
      <c r="AY280" s="110"/>
      <c r="AZ280" s="110"/>
      <c r="BA280" s="110"/>
      <c r="BB280" s="110"/>
      <c r="BC280" s="110"/>
      <c r="BD280" s="110"/>
      <c r="BE280" s="110"/>
      <c r="BF280" s="110"/>
      <c r="BG280" s="110"/>
      <c r="BH280" s="110"/>
      <c r="BI280" s="110"/>
      <c r="BJ280" s="110"/>
      <c r="BK280" s="110"/>
      <c r="BL280" s="110"/>
      <c r="BM280" s="110"/>
      <c r="BN280" s="110"/>
      <c r="BO280" s="110"/>
      <c r="BP280" s="110"/>
      <c r="BQ280" s="110"/>
      <c r="BR280" s="110"/>
      <c r="BS280" s="110"/>
      <c r="BT280" s="110"/>
      <c r="BU280" s="110"/>
      <c r="BV280" s="110"/>
      <c r="BW280" s="110"/>
      <c r="BX280" s="110"/>
      <c r="BY280" s="110"/>
      <c r="BZ280" s="110"/>
      <c r="CA280" s="110"/>
      <c r="CB280" s="110"/>
      <c r="CC280" s="110"/>
    </row>
    <row r="281" spans="1:81" ht="12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  <c r="AW281" s="110"/>
      <c r="AX281" s="110"/>
      <c r="AY281" s="110"/>
      <c r="AZ281" s="110"/>
      <c r="BA281" s="110"/>
      <c r="BB281" s="110"/>
      <c r="BC281" s="110"/>
      <c r="BD281" s="110"/>
      <c r="BE281" s="110"/>
      <c r="BF281" s="110"/>
      <c r="BG281" s="110"/>
      <c r="BH281" s="110"/>
      <c r="BI281" s="110"/>
      <c r="BJ281" s="110"/>
      <c r="BK281" s="110"/>
      <c r="BL281" s="110"/>
      <c r="BM281" s="110"/>
      <c r="BN281" s="110"/>
      <c r="BO281" s="110"/>
      <c r="BP281" s="110"/>
      <c r="BQ281" s="110"/>
      <c r="BR281" s="110"/>
      <c r="BS281" s="110"/>
      <c r="BT281" s="110"/>
      <c r="BU281" s="110"/>
      <c r="BV281" s="110"/>
      <c r="BW281" s="110"/>
      <c r="BX281" s="110"/>
      <c r="BY281" s="110"/>
      <c r="BZ281" s="110"/>
      <c r="CA281" s="110"/>
      <c r="CB281" s="110"/>
      <c r="CC281" s="110"/>
    </row>
    <row r="282" spans="1:81" ht="12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  <c r="AV282" s="110"/>
      <c r="AW282" s="110"/>
      <c r="AX282" s="110"/>
      <c r="AY282" s="110"/>
      <c r="AZ282" s="110"/>
      <c r="BA282" s="110"/>
      <c r="BB282" s="110"/>
      <c r="BC282" s="110"/>
      <c r="BD282" s="110"/>
      <c r="BE282" s="110"/>
      <c r="BF282" s="110"/>
      <c r="BG282" s="110"/>
      <c r="BH282" s="110"/>
      <c r="BI282" s="110"/>
      <c r="BJ282" s="110"/>
      <c r="BK282" s="110"/>
      <c r="BL282" s="110"/>
      <c r="BM282" s="110"/>
      <c r="BN282" s="110"/>
      <c r="BO282" s="110"/>
      <c r="BP282" s="110"/>
      <c r="BQ282" s="110"/>
      <c r="BR282" s="110"/>
      <c r="BS282" s="110"/>
      <c r="BT282" s="110"/>
      <c r="BU282" s="110"/>
      <c r="BV282" s="110"/>
      <c r="BW282" s="110"/>
      <c r="BX282" s="110"/>
      <c r="BY282" s="110"/>
      <c r="BZ282" s="110"/>
      <c r="CA282" s="110"/>
      <c r="CB282" s="110"/>
      <c r="CC282" s="110"/>
    </row>
    <row r="283" spans="1:81" ht="12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  <c r="AW283" s="110"/>
      <c r="AX283" s="110"/>
      <c r="AY283" s="110"/>
      <c r="AZ283" s="110"/>
      <c r="BA283" s="110"/>
      <c r="BB283" s="110"/>
      <c r="BC283" s="110"/>
      <c r="BD283" s="110"/>
      <c r="BE283" s="110"/>
      <c r="BF283" s="110"/>
      <c r="BG283" s="110"/>
      <c r="BH283" s="110"/>
      <c r="BI283" s="110"/>
      <c r="BJ283" s="110"/>
      <c r="BK283" s="110"/>
      <c r="BL283" s="110"/>
      <c r="BM283" s="110"/>
      <c r="BN283" s="110"/>
      <c r="BO283" s="110"/>
      <c r="BP283" s="110"/>
      <c r="BQ283" s="110"/>
      <c r="BR283" s="110"/>
      <c r="BS283" s="110"/>
      <c r="BT283" s="110"/>
      <c r="BU283" s="110"/>
      <c r="BV283" s="110"/>
      <c r="BW283" s="110"/>
      <c r="BX283" s="110"/>
      <c r="BY283" s="110"/>
      <c r="BZ283" s="110"/>
      <c r="CA283" s="110"/>
      <c r="CB283" s="110"/>
      <c r="CC283" s="110"/>
    </row>
    <row r="284" spans="1:81" ht="12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  <c r="AV284" s="110"/>
      <c r="AW284" s="110"/>
      <c r="AX284" s="110"/>
      <c r="AY284" s="110"/>
      <c r="AZ284" s="110"/>
      <c r="BA284" s="110"/>
      <c r="BB284" s="110"/>
      <c r="BC284" s="110"/>
      <c r="BD284" s="110"/>
      <c r="BE284" s="110"/>
      <c r="BF284" s="110"/>
      <c r="BG284" s="110"/>
      <c r="BH284" s="110"/>
      <c r="BI284" s="110"/>
      <c r="BJ284" s="110"/>
      <c r="BK284" s="110"/>
      <c r="BL284" s="110"/>
      <c r="BM284" s="110"/>
      <c r="BN284" s="110"/>
      <c r="BO284" s="110"/>
      <c r="BP284" s="110"/>
      <c r="BQ284" s="110"/>
      <c r="BR284" s="110"/>
      <c r="BS284" s="110"/>
      <c r="BT284" s="110"/>
      <c r="BU284" s="110"/>
      <c r="BV284" s="110"/>
      <c r="BW284" s="110"/>
      <c r="BX284" s="110"/>
      <c r="BY284" s="110"/>
      <c r="BZ284" s="110"/>
      <c r="CA284" s="110"/>
      <c r="CB284" s="110"/>
      <c r="CC284" s="110"/>
    </row>
    <row r="285" spans="1:81" ht="12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  <c r="AV285" s="110"/>
      <c r="AW285" s="110"/>
      <c r="AX285" s="110"/>
      <c r="AY285" s="110"/>
      <c r="AZ285" s="110"/>
      <c r="BA285" s="110"/>
      <c r="BB285" s="110"/>
      <c r="BC285" s="110"/>
      <c r="BD285" s="110"/>
      <c r="BE285" s="110"/>
      <c r="BF285" s="110"/>
      <c r="BG285" s="110"/>
      <c r="BH285" s="110"/>
      <c r="BI285" s="110"/>
      <c r="BJ285" s="110"/>
      <c r="BK285" s="110"/>
      <c r="BL285" s="110"/>
      <c r="BM285" s="110"/>
      <c r="BN285" s="110"/>
      <c r="BO285" s="110"/>
      <c r="BP285" s="110"/>
      <c r="BQ285" s="110"/>
      <c r="BR285" s="110"/>
      <c r="BS285" s="110"/>
      <c r="BT285" s="110"/>
      <c r="BU285" s="110"/>
      <c r="BV285" s="110"/>
      <c r="BW285" s="110"/>
      <c r="BX285" s="110"/>
      <c r="BY285" s="110"/>
      <c r="BZ285" s="110"/>
      <c r="CA285" s="110"/>
      <c r="CB285" s="110"/>
      <c r="CC285" s="110"/>
    </row>
    <row r="286" spans="1:81" ht="12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  <c r="AW286" s="110"/>
      <c r="AX286" s="110"/>
      <c r="AY286" s="110"/>
      <c r="AZ286" s="110"/>
      <c r="BA286" s="110"/>
      <c r="BB286" s="110"/>
      <c r="BC286" s="110"/>
      <c r="BD286" s="110"/>
      <c r="BE286" s="110"/>
      <c r="BF286" s="110"/>
      <c r="BG286" s="110"/>
      <c r="BH286" s="110"/>
      <c r="BI286" s="110"/>
      <c r="BJ286" s="110"/>
      <c r="BK286" s="110"/>
      <c r="BL286" s="110"/>
      <c r="BM286" s="110"/>
      <c r="BN286" s="110"/>
      <c r="BO286" s="110"/>
      <c r="BP286" s="110"/>
      <c r="BQ286" s="110"/>
      <c r="BR286" s="110"/>
      <c r="BS286" s="110"/>
      <c r="BT286" s="110"/>
      <c r="BU286" s="110"/>
      <c r="BV286" s="110"/>
      <c r="BW286" s="110"/>
      <c r="BX286" s="110"/>
      <c r="BY286" s="110"/>
      <c r="BZ286" s="110"/>
      <c r="CA286" s="110"/>
      <c r="CB286" s="110"/>
      <c r="CC286" s="110"/>
    </row>
    <row r="287" spans="1:81" ht="12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  <c r="AV287" s="110"/>
      <c r="AW287" s="110"/>
      <c r="AX287" s="110"/>
      <c r="AY287" s="110"/>
      <c r="AZ287" s="110"/>
      <c r="BA287" s="110"/>
      <c r="BB287" s="110"/>
      <c r="BC287" s="110"/>
      <c r="BD287" s="110"/>
      <c r="BE287" s="110"/>
      <c r="BF287" s="110"/>
      <c r="BG287" s="110"/>
      <c r="BH287" s="110"/>
      <c r="BI287" s="110"/>
      <c r="BJ287" s="110"/>
      <c r="BK287" s="110"/>
      <c r="BL287" s="110"/>
      <c r="BM287" s="110"/>
      <c r="BN287" s="110"/>
      <c r="BO287" s="110"/>
      <c r="BP287" s="110"/>
      <c r="BQ287" s="110"/>
      <c r="BR287" s="110"/>
      <c r="BS287" s="110"/>
      <c r="BT287" s="110"/>
      <c r="BU287" s="110"/>
      <c r="BV287" s="110"/>
      <c r="BW287" s="110"/>
      <c r="BX287" s="110"/>
      <c r="BY287" s="110"/>
      <c r="BZ287" s="110"/>
      <c r="CA287" s="110"/>
      <c r="CB287" s="110"/>
      <c r="CC287" s="110"/>
    </row>
    <row r="288" spans="1:81" ht="12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  <c r="AV288" s="110"/>
      <c r="AW288" s="110"/>
      <c r="AX288" s="110"/>
      <c r="AY288" s="110"/>
      <c r="AZ288" s="110"/>
      <c r="BA288" s="110"/>
      <c r="BB288" s="110"/>
      <c r="BC288" s="110"/>
      <c r="BD288" s="110"/>
      <c r="BE288" s="110"/>
      <c r="BF288" s="110"/>
      <c r="BG288" s="110"/>
      <c r="BH288" s="110"/>
      <c r="BI288" s="110"/>
      <c r="BJ288" s="110"/>
      <c r="BK288" s="110"/>
      <c r="BL288" s="110"/>
      <c r="BM288" s="110"/>
      <c r="BN288" s="110"/>
      <c r="BO288" s="110"/>
      <c r="BP288" s="110"/>
      <c r="BQ288" s="110"/>
      <c r="BR288" s="110"/>
      <c r="BS288" s="110"/>
      <c r="BT288" s="110"/>
      <c r="BU288" s="110"/>
      <c r="BV288" s="110"/>
      <c r="BW288" s="110"/>
      <c r="BX288" s="110"/>
      <c r="BY288" s="110"/>
      <c r="BZ288" s="110"/>
      <c r="CA288" s="110"/>
      <c r="CB288" s="110"/>
      <c r="CC288" s="110"/>
    </row>
    <row r="289" spans="1:81" ht="12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  <c r="AV289" s="110"/>
      <c r="AW289" s="110"/>
      <c r="AX289" s="110"/>
      <c r="AY289" s="110"/>
      <c r="AZ289" s="110"/>
      <c r="BA289" s="110"/>
      <c r="BB289" s="110"/>
      <c r="BC289" s="110"/>
      <c r="BD289" s="110"/>
      <c r="BE289" s="110"/>
      <c r="BF289" s="110"/>
      <c r="BG289" s="110"/>
      <c r="BH289" s="110"/>
      <c r="BI289" s="110"/>
      <c r="BJ289" s="110"/>
      <c r="BK289" s="110"/>
      <c r="BL289" s="110"/>
      <c r="BM289" s="110"/>
      <c r="BN289" s="110"/>
      <c r="BO289" s="110"/>
      <c r="BP289" s="110"/>
      <c r="BQ289" s="110"/>
      <c r="BR289" s="110"/>
      <c r="BS289" s="110"/>
      <c r="BT289" s="110"/>
      <c r="BU289" s="110"/>
      <c r="BV289" s="110"/>
      <c r="BW289" s="110"/>
      <c r="BX289" s="110"/>
      <c r="BY289" s="110"/>
      <c r="BZ289" s="110"/>
      <c r="CA289" s="110"/>
      <c r="CB289" s="110"/>
      <c r="CC289" s="110"/>
    </row>
    <row r="290" spans="1:81" ht="12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  <c r="AV290" s="110"/>
      <c r="AW290" s="110"/>
      <c r="AX290" s="110"/>
      <c r="AY290" s="110"/>
      <c r="AZ290" s="110"/>
      <c r="BA290" s="110"/>
      <c r="BB290" s="110"/>
      <c r="BC290" s="110"/>
      <c r="BD290" s="110"/>
      <c r="BE290" s="110"/>
      <c r="BF290" s="110"/>
      <c r="BG290" s="110"/>
      <c r="BH290" s="110"/>
      <c r="BI290" s="110"/>
      <c r="BJ290" s="110"/>
      <c r="BK290" s="110"/>
      <c r="BL290" s="110"/>
      <c r="BM290" s="110"/>
      <c r="BN290" s="110"/>
      <c r="BO290" s="110"/>
      <c r="BP290" s="110"/>
      <c r="BQ290" s="110"/>
      <c r="BR290" s="110"/>
      <c r="BS290" s="110"/>
      <c r="BT290" s="110"/>
      <c r="BU290" s="110"/>
      <c r="BV290" s="110"/>
      <c r="BW290" s="110"/>
      <c r="BX290" s="110"/>
      <c r="BY290" s="110"/>
      <c r="BZ290" s="110"/>
      <c r="CA290" s="110"/>
      <c r="CB290" s="110"/>
      <c r="CC290" s="110"/>
    </row>
    <row r="291" spans="1:81" ht="12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  <c r="AV291" s="110"/>
      <c r="AW291" s="110"/>
      <c r="AX291" s="110"/>
      <c r="AY291" s="110"/>
      <c r="AZ291" s="110"/>
      <c r="BA291" s="110"/>
      <c r="BB291" s="110"/>
      <c r="BC291" s="110"/>
      <c r="BD291" s="110"/>
      <c r="BE291" s="110"/>
      <c r="BF291" s="110"/>
      <c r="BG291" s="110"/>
      <c r="BH291" s="110"/>
      <c r="BI291" s="110"/>
      <c r="BJ291" s="110"/>
      <c r="BK291" s="110"/>
      <c r="BL291" s="110"/>
      <c r="BM291" s="110"/>
      <c r="BN291" s="110"/>
      <c r="BO291" s="110"/>
      <c r="BP291" s="110"/>
      <c r="BQ291" s="110"/>
      <c r="BR291" s="110"/>
      <c r="BS291" s="110"/>
      <c r="BT291" s="110"/>
      <c r="BU291" s="110"/>
      <c r="BV291" s="110"/>
      <c r="BW291" s="110"/>
      <c r="BX291" s="110"/>
      <c r="BY291" s="110"/>
      <c r="BZ291" s="110"/>
      <c r="CA291" s="110"/>
      <c r="CB291" s="110"/>
      <c r="CC291" s="110"/>
    </row>
    <row r="292" spans="1:81" ht="12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  <c r="AV292" s="110"/>
      <c r="AW292" s="110"/>
      <c r="AX292" s="110"/>
      <c r="AY292" s="110"/>
      <c r="AZ292" s="110"/>
      <c r="BA292" s="110"/>
      <c r="BB292" s="110"/>
      <c r="BC292" s="110"/>
      <c r="BD292" s="110"/>
      <c r="BE292" s="110"/>
      <c r="BF292" s="110"/>
      <c r="BG292" s="110"/>
      <c r="BH292" s="110"/>
      <c r="BI292" s="110"/>
      <c r="BJ292" s="110"/>
      <c r="BK292" s="110"/>
      <c r="BL292" s="110"/>
      <c r="BM292" s="110"/>
      <c r="BN292" s="110"/>
      <c r="BO292" s="110"/>
      <c r="BP292" s="110"/>
      <c r="BQ292" s="110"/>
      <c r="BR292" s="110"/>
      <c r="BS292" s="110"/>
      <c r="BT292" s="110"/>
      <c r="BU292" s="110"/>
      <c r="BV292" s="110"/>
      <c r="BW292" s="110"/>
      <c r="BX292" s="110"/>
      <c r="BY292" s="110"/>
      <c r="BZ292" s="110"/>
      <c r="CA292" s="110"/>
      <c r="CB292" s="110"/>
      <c r="CC292" s="110"/>
    </row>
    <row r="293" spans="1:81" ht="12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  <c r="AV293" s="110"/>
      <c r="AW293" s="110"/>
      <c r="AX293" s="110"/>
      <c r="AY293" s="110"/>
      <c r="AZ293" s="110"/>
      <c r="BA293" s="110"/>
      <c r="BB293" s="110"/>
      <c r="BC293" s="110"/>
      <c r="BD293" s="110"/>
      <c r="BE293" s="110"/>
      <c r="BF293" s="110"/>
      <c r="BG293" s="110"/>
      <c r="BH293" s="110"/>
      <c r="BI293" s="110"/>
      <c r="BJ293" s="110"/>
      <c r="BK293" s="110"/>
      <c r="BL293" s="110"/>
      <c r="BM293" s="110"/>
      <c r="BN293" s="110"/>
      <c r="BO293" s="110"/>
      <c r="BP293" s="110"/>
      <c r="BQ293" s="110"/>
      <c r="BR293" s="110"/>
      <c r="BS293" s="110"/>
      <c r="BT293" s="110"/>
      <c r="BU293" s="110"/>
      <c r="BV293" s="110"/>
      <c r="BW293" s="110"/>
      <c r="BX293" s="110"/>
      <c r="BY293" s="110"/>
      <c r="BZ293" s="110"/>
      <c r="CA293" s="110"/>
      <c r="CB293" s="110"/>
      <c r="CC293" s="110"/>
    </row>
    <row r="294" spans="1:81" ht="12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  <c r="AV294" s="110"/>
      <c r="AW294" s="110"/>
      <c r="AX294" s="110"/>
      <c r="AY294" s="110"/>
      <c r="AZ294" s="110"/>
      <c r="BA294" s="110"/>
      <c r="BB294" s="110"/>
      <c r="BC294" s="110"/>
      <c r="BD294" s="110"/>
      <c r="BE294" s="110"/>
      <c r="BF294" s="110"/>
      <c r="BG294" s="110"/>
      <c r="BH294" s="110"/>
      <c r="BI294" s="110"/>
      <c r="BJ294" s="110"/>
      <c r="BK294" s="110"/>
      <c r="BL294" s="110"/>
      <c r="BM294" s="110"/>
      <c r="BN294" s="110"/>
      <c r="BO294" s="110"/>
      <c r="BP294" s="110"/>
      <c r="BQ294" s="110"/>
      <c r="BR294" s="110"/>
      <c r="BS294" s="110"/>
      <c r="BT294" s="110"/>
      <c r="BU294" s="110"/>
      <c r="BV294" s="110"/>
      <c r="BW294" s="110"/>
      <c r="BX294" s="110"/>
      <c r="BY294" s="110"/>
      <c r="BZ294" s="110"/>
      <c r="CA294" s="110"/>
      <c r="CB294" s="110"/>
      <c r="CC294" s="110"/>
    </row>
    <row r="295" spans="1:81" ht="12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  <c r="AV295" s="110"/>
      <c r="AW295" s="110"/>
      <c r="AX295" s="110"/>
      <c r="AY295" s="110"/>
      <c r="AZ295" s="110"/>
      <c r="BA295" s="110"/>
      <c r="BB295" s="110"/>
      <c r="BC295" s="110"/>
      <c r="BD295" s="110"/>
      <c r="BE295" s="110"/>
      <c r="BF295" s="110"/>
      <c r="BG295" s="110"/>
      <c r="BH295" s="110"/>
      <c r="BI295" s="110"/>
      <c r="BJ295" s="110"/>
      <c r="BK295" s="110"/>
      <c r="BL295" s="110"/>
      <c r="BM295" s="110"/>
      <c r="BN295" s="110"/>
      <c r="BO295" s="110"/>
      <c r="BP295" s="110"/>
      <c r="BQ295" s="110"/>
      <c r="BR295" s="110"/>
      <c r="BS295" s="110"/>
      <c r="BT295" s="110"/>
      <c r="BU295" s="110"/>
      <c r="BV295" s="110"/>
      <c r="BW295" s="110"/>
      <c r="BX295" s="110"/>
      <c r="BY295" s="110"/>
      <c r="BZ295" s="110"/>
      <c r="CA295" s="110"/>
      <c r="CB295" s="110"/>
      <c r="CC295" s="110"/>
    </row>
    <row r="296" spans="1:81" ht="12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  <c r="AV296" s="110"/>
      <c r="AW296" s="110"/>
      <c r="AX296" s="110"/>
      <c r="AY296" s="110"/>
      <c r="AZ296" s="110"/>
      <c r="BA296" s="110"/>
      <c r="BB296" s="110"/>
      <c r="BC296" s="110"/>
      <c r="BD296" s="110"/>
      <c r="BE296" s="110"/>
      <c r="BF296" s="110"/>
      <c r="BG296" s="110"/>
      <c r="BH296" s="110"/>
      <c r="BI296" s="110"/>
      <c r="BJ296" s="110"/>
      <c r="BK296" s="110"/>
      <c r="BL296" s="110"/>
      <c r="BM296" s="110"/>
      <c r="BN296" s="110"/>
      <c r="BO296" s="110"/>
      <c r="BP296" s="110"/>
      <c r="BQ296" s="110"/>
      <c r="BR296" s="110"/>
      <c r="BS296" s="110"/>
      <c r="BT296" s="110"/>
      <c r="BU296" s="110"/>
      <c r="BV296" s="110"/>
      <c r="BW296" s="110"/>
      <c r="BX296" s="110"/>
      <c r="BY296" s="110"/>
      <c r="BZ296" s="110"/>
      <c r="CA296" s="110"/>
      <c r="CB296" s="110"/>
      <c r="CC296" s="110"/>
    </row>
    <row r="297" spans="1:81" ht="12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  <c r="AW297" s="110"/>
      <c r="AX297" s="110"/>
      <c r="AY297" s="110"/>
      <c r="AZ297" s="110"/>
      <c r="BA297" s="110"/>
      <c r="BB297" s="110"/>
      <c r="BC297" s="110"/>
      <c r="BD297" s="110"/>
      <c r="BE297" s="110"/>
      <c r="BF297" s="110"/>
      <c r="BG297" s="110"/>
      <c r="BH297" s="110"/>
      <c r="BI297" s="110"/>
      <c r="BJ297" s="110"/>
      <c r="BK297" s="110"/>
      <c r="BL297" s="110"/>
      <c r="BM297" s="110"/>
      <c r="BN297" s="110"/>
      <c r="BO297" s="110"/>
      <c r="BP297" s="110"/>
      <c r="BQ297" s="110"/>
      <c r="BR297" s="110"/>
      <c r="BS297" s="110"/>
      <c r="BT297" s="110"/>
      <c r="BU297" s="110"/>
      <c r="BV297" s="110"/>
      <c r="BW297" s="110"/>
      <c r="BX297" s="110"/>
      <c r="BY297" s="110"/>
      <c r="BZ297" s="110"/>
      <c r="CA297" s="110"/>
      <c r="CB297" s="110"/>
      <c r="CC297" s="110"/>
    </row>
    <row r="298" spans="1:81" ht="12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  <c r="AW298" s="110"/>
      <c r="AX298" s="110"/>
      <c r="AY298" s="110"/>
      <c r="AZ298" s="110"/>
      <c r="BA298" s="110"/>
      <c r="BB298" s="110"/>
      <c r="BC298" s="110"/>
      <c r="BD298" s="110"/>
      <c r="BE298" s="110"/>
      <c r="BF298" s="110"/>
      <c r="BG298" s="110"/>
      <c r="BH298" s="110"/>
      <c r="BI298" s="110"/>
      <c r="BJ298" s="110"/>
      <c r="BK298" s="110"/>
      <c r="BL298" s="110"/>
      <c r="BM298" s="110"/>
      <c r="BN298" s="110"/>
      <c r="BO298" s="110"/>
      <c r="BP298" s="110"/>
      <c r="BQ298" s="110"/>
      <c r="BR298" s="110"/>
      <c r="BS298" s="110"/>
      <c r="BT298" s="110"/>
      <c r="BU298" s="110"/>
      <c r="BV298" s="110"/>
      <c r="BW298" s="110"/>
      <c r="BX298" s="110"/>
      <c r="BY298" s="110"/>
      <c r="BZ298" s="110"/>
      <c r="CA298" s="110"/>
      <c r="CB298" s="110"/>
      <c r="CC298" s="110"/>
    </row>
    <row r="299" spans="1:81" ht="12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  <c r="AW299" s="110"/>
      <c r="AX299" s="110"/>
      <c r="AY299" s="110"/>
      <c r="AZ299" s="110"/>
      <c r="BA299" s="110"/>
      <c r="BB299" s="110"/>
      <c r="BC299" s="110"/>
      <c r="BD299" s="110"/>
      <c r="BE299" s="110"/>
      <c r="BF299" s="110"/>
      <c r="BG299" s="110"/>
      <c r="BH299" s="110"/>
      <c r="BI299" s="110"/>
      <c r="BJ299" s="110"/>
      <c r="BK299" s="110"/>
      <c r="BL299" s="110"/>
      <c r="BM299" s="110"/>
      <c r="BN299" s="110"/>
      <c r="BO299" s="110"/>
      <c r="BP299" s="110"/>
      <c r="BQ299" s="110"/>
      <c r="BR299" s="110"/>
      <c r="BS299" s="110"/>
      <c r="BT299" s="110"/>
      <c r="BU299" s="110"/>
      <c r="BV299" s="110"/>
      <c r="BW299" s="110"/>
      <c r="BX299" s="110"/>
      <c r="BY299" s="110"/>
      <c r="BZ299" s="110"/>
      <c r="CA299" s="110"/>
      <c r="CB299" s="110"/>
      <c r="CC299" s="110"/>
    </row>
    <row r="300" spans="1:81" ht="12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  <c r="AW300" s="110"/>
      <c r="AX300" s="110"/>
      <c r="AY300" s="110"/>
      <c r="AZ300" s="110"/>
      <c r="BA300" s="110"/>
      <c r="BB300" s="110"/>
      <c r="BC300" s="110"/>
      <c r="BD300" s="110"/>
      <c r="BE300" s="110"/>
      <c r="BF300" s="110"/>
      <c r="BG300" s="110"/>
      <c r="BH300" s="110"/>
      <c r="BI300" s="110"/>
      <c r="BJ300" s="110"/>
      <c r="BK300" s="110"/>
      <c r="BL300" s="110"/>
      <c r="BM300" s="110"/>
      <c r="BN300" s="110"/>
      <c r="BO300" s="110"/>
      <c r="BP300" s="110"/>
      <c r="BQ300" s="110"/>
      <c r="BR300" s="110"/>
      <c r="BS300" s="110"/>
      <c r="BT300" s="110"/>
      <c r="BU300" s="110"/>
      <c r="BV300" s="110"/>
      <c r="BW300" s="110"/>
      <c r="BX300" s="110"/>
      <c r="BY300" s="110"/>
      <c r="BZ300" s="110"/>
      <c r="CA300" s="110"/>
      <c r="CB300" s="110"/>
      <c r="CC300" s="110"/>
    </row>
    <row r="301" spans="1:81" ht="12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110"/>
      <c r="AX301" s="110"/>
      <c r="AY301" s="110"/>
      <c r="AZ301" s="110"/>
      <c r="BA301" s="110"/>
      <c r="BB301" s="110"/>
      <c r="BC301" s="110"/>
      <c r="BD301" s="110"/>
      <c r="BE301" s="110"/>
      <c r="BF301" s="110"/>
      <c r="BG301" s="110"/>
      <c r="BH301" s="110"/>
      <c r="BI301" s="110"/>
      <c r="BJ301" s="110"/>
      <c r="BK301" s="110"/>
      <c r="BL301" s="110"/>
      <c r="BM301" s="110"/>
      <c r="BN301" s="110"/>
      <c r="BO301" s="110"/>
      <c r="BP301" s="110"/>
      <c r="BQ301" s="110"/>
      <c r="BR301" s="110"/>
      <c r="BS301" s="110"/>
      <c r="BT301" s="110"/>
      <c r="BU301" s="110"/>
      <c r="BV301" s="110"/>
      <c r="BW301" s="110"/>
      <c r="BX301" s="110"/>
      <c r="BY301" s="110"/>
      <c r="BZ301" s="110"/>
      <c r="CA301" s="110"/>
      <c r="CB301" s="110"/>
      <c r="CC301" s="110"/>
    </row>
    <row r="302" spans="1:81" ht="12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110"/>
      <c r="AX302" s="110"/>
      <c r="AY302" s="110"/>
      <c r="AZ302" s="110"/>
      <c r="BA302" s="110"/>
      <c r="BB302" s="110"/>
      <c r="BC302" s="110"/>
      <c r="BD302" s="110"/>
      <c r="BE302" s="110"/>
      <c r="BF302" s="110"/>
      <c r="BG302" s="110"/>
      <c r="BH302" s="110"/>
      <c r="BI302" s="110"/>
      <c r="BJ302" s="110"/>
      <c r="BK302" s="110"/>
      <c r="BL302" s="110"/>
      <c r="BM302" s="110"/>
      <c r="BN302" s="110"/>
      <c r="BO302" s="110"/>
      <c r="BP302" s="110"/>
      <c r="BQ302" s="110"/>
      <c r="BR302" s="110"/>
      <c r="BS302" s="110"/>
      <c r="BT302" s="110"/>
      <c r="BU302" s="110"/>
      <c r="BV302" s="110"/>
      <c r="BW302" s="110"/>
      <c r="BX302" s="110"/>
      <c r="BY302" s="110"/>
      <c r="BZ302" s="110"/>
      <c r="CA302" s="110"/>
      <c r="CB302" s="110"/>
      <c r="CC302" s="110"/>
    </row>
    <row r="303" spans="1:81" ht="12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  <c r="AW303" s="110"/>
      <c r="AX303" s="110"/>
      <c r="AY303" s="110"/>
      <c r="AZ303" s="110"/>
      <c r="BA303" s="110"/>
      <c r="BB303" s="110"/>
      <c r="BC303" s="110"/>
      <c r="BD303" s="110"/>
      <c r="BE303" s="110"/>
      <c r="BF303" s="110"/>
      <c r="BG303" s="110"/>
      <c r="BH303" s="110"/>
      <c r="BI303" s="110"/>
      <c r="BJ303" s="110"/>
      <c r="BK303" s="110"/>
      <c r="BL303" s="110"/>
      <c r="BM303" s="110"/>
      <c r="BN303" s="110"/>
      <c r="BO303" s="110"/>
      <c r="BP303" s="110"/>
      <c r="BQ303" s="110"/>
      <c r="BR303" s="110"/>
      <c r="BS303" s="110"/>
      <c r="BT303" s="110"/>
      <c r="BU303" s="110"/>
      <c r="BV303" s="110"/>
      <c r="BW303" s="110"/>
      <c r="BX303" s="110"/>
      <c r="BY303" s="110"/>
      <c r="BZ303" s="110"/>
      <c r="CA303" s="110"/>
      <c r="CB303" s="110"/>
      <c r="CC303" s="110"/>
    </row>
    <row r="304" spans="1:81" ht="12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  <c r="AW304" s="110"/>
      <c r="AX304" s="110"/>
      <c r="AY304" s="110"/>
      <c r="AZ304" s="110"/>
      <c r="BA304" s="110"/>
      <c r="BB304" s="110"/>
      <c r="BC304" s="110"/>
      <c r="BD304" s="110"/>
      <c r="BE304" s="110"/>
      <c r="BF304" s="110"/>
      <c r="BG304" s="110"/>
      <c r="BH304" s="110"/>
      <c r="BI304" s="110"/>
      <c r="BJ304" s="110"/>
      <c r="BK304" s="110"/>
      <c r="BL304" s="110"/>
      <c r="BM304" s="110"/>
      <c r="BN304" s="110"/>
      <c r="BO304" s="110"/>
      <c r="BP304" s="110"/>
      <c r="BQ304" s="110"/>
      <c r="BR304" s="110"/>
      <c r="BS304" s="110"/>
      <c r="BT304" s="110"/>
      <c r="BU304" s="110"/>
      <c r="BV304" s="110"/>
      <c r="BW304" s="110"/>
      <c r="BX304" s="110"/>
      <c r="BY304" s="110"/>
      <c r="BZ304" s="110"/>
      <c r="CA304" s="110"/>
      <c r="CB304" s="110"/>
      <c r="CC304" s="110"/>
    </row>
    <row r="305" spans="1:81" ht="12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  <c r="AW305" s="110"/>
      <c r="AX305" s="110"/>
      <c r="AY305" s="110"/>
      <c r="AZ305" s="110"/>
      <c r="BA305" s="110"/>
      <c r="BB305" s="110"/>
      <c r="BC305" s="110"/>
      <c r="BD305" s="110"/>
      <c r="BE305" s="110"/>
      <c r="BF305" s="110"/>
      <c r="BG305" s="110"/>
      <c r="BH305" s="110"/>
      <c r="BI305" s="110"/>
      <c r="BJ305" s="110"/>
      <c r="BK305" s="110"/>
      <c r="BL305" s="110"/>
      <c r="BM305" s="110"/>
      <c r="BN305" s="110"/>
      <c r="BO305" s="110"/>
      <c r="BP305" s="110"/>
      <c r="BQ305" s="110"/>
      <c r="BR305" s="110"/>
      <c r="BS305" s="110"/>
      <c r="BT305" s="110"/>
      <c r="BU305" s="110"/>
      <c r="BV305" s="110"/>
      <c r="BW305" s="110"/>
      <c r="BX305" s="110"/>
      <c r="BY305" s="110"/>
      <c r="BZ305" s="110"/>
      <c r="CA305" s="110"/>
      <c r="CB305" s="110"/>
      <c r="CC305" s="110"/>
    </row>
    <row r="306" spans="1:81" ht="12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110"/>
      <c r="AX306" s="110"/>
      <c r="AY306" s="110"/>
      <c r="AZ306" s="110"/>
      <c r="BA306" s="110"/>
      <c r="BB306" s="110"/>
      <c r="BC306" s="110"/>
      <c r="BD306" s="110"/>
      <c r="BE306" s="110"/>
      <c r="BF306" s="110"/>
      <c r="BG306" s="110"/>
      <c r="BH306" s="110"/>
      <c r="BI306" s="110"/>
      <c r="BJ306" s="110"/>
      <c r="BK306" s="110"/>
      <c r="BL306" s="110"/>
      <c r="BM306" s="110"/>
      <c r="BN306" s="110"/>
      <c r="BO306" s="110"/>
      <c r="BP306" s="110"/>
      <c r="BQ306" s="110"/>
      <c r="BR306" s="110"/>
      <c r="BS306" s="110"/>
      <c r="BT306" s="110"/>
      <c r="BU306" s="110"/>
      <c r="BV306" s="110"/>
      <c r="BW306" s="110"/>
      <c r="BX306" s="110"/>
      <c r="BY306" s="110"/>
      <c r="BZ306" s="110"/>
      <c r="CA306" s="110"/>
      <c r="CB306" s="110"/>
      <c r="CC306" s="110"/>
    </row>
    <row r="307" spans="1:81" ht="12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  <c r="BA307" s="110"/>
      <c r="BB307" s="110"/>
      <c r="BC307" s="110"/>
      <c r="BD307" s="110"/>
      <c r="BE307" s="110"/>
      <c r="BF307" s="110"/>
      <c r="BG307" s="110"/>
      <c r="BH307" s="110"/>
      <c r="BI307" s="110"/>
      <c r="BJ307" s="110"/>
      <c r="BK307" s="110"/>
      <c r="BL307" s="110"/>
      <c r="BM307" s="110"/>
      <c r="BN307" s="110"/>
      <c r="BO307" s="110"/>
      <c r="BP307" s="110"/>
      <c r="BQ307" s="110"/>
      <c r="BR307" s="110"/>
      <c r="BS307" s="110"/>
      <c r="BT307" s="110"/>
      <c r="BU307" s="110"/>
      <c r="BV307" s="110"/>
      <c r="BW307" s="110"/>
      <c r="BX307" s="110"/>
      <c r="BY307" s="110"/>
      <c r="BZ307" s="110"/>
      <c r="CA307" s="110"/>
      <c r="CB307" s="110"/>
      <c r="CC307" s="110"/>
    </row>
    <row r="308" spans="1:81" ht="12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110"/>
      <c r="AX308" s="110"/>
      <c r="AY308" s="110"/>
      <c r="AZ308" s="110"/>
      <c r="BA308" s="110"/>
      <c r="BB308" s="110"/>
      <c r="BC308" s="110"/>
      <c r="BD308" s="110"/>
      <c r="BE308" s="110"/>
      <c r="BF308" s="110"/>
      <c r="BG308" s="110"/>
      <c r="BH308" s="110"/>
      <c r="BI308" s="110"/>
      <c r="BJ308" s="110"/>
      <c r="BK308" s="110"/>
      <c r="BL308" s="110"/>
      <c r="BM308" s="110"/>
      <c r="BN308" s="110"/>
      <c r="BO308" s="110"/>
      <c r="BP308" s="110"/>
      <c r="BQ308" s="110"/>
      <c r="BR308" s="110"/>
      <c r="BS308" s="110"/>
      <c r="BT308" s="110"/>
      <c r="BU308" s="110"/>
      <c r="BV308" s="110"/>
      <c r="BW308" s="110"/>
      <c r="BX308" s="110"/>
      <c r="BY308" s="110"/>
      <c r="BZ308" s="110"/>
      <c r="CA308" s="110"/>
      <c r="CB308" s="110"/>
      <c r="CC308" s="110"/>
    </row>
    <row r="309" spans="1:81" ht="12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  <c r="AW309" s="110"/>
      <c r="AX309" s="110"/>
      <c r="AY309" s="110"/>
      <c r="AZ309" s="110"/>
      <c r="BA309" s="110"/>
      <c r="BB309" s="110"/>
      <c r="BC309" s="110"/>
      <c r="BD309" s="110"/>
      <c r="BE309" s="110"/>
      <c r="BF309" s="110"/>
      <c r="BG309" s="110"/>
      <c r="BH309" s="110"/>
      <c r="BI309" s="110"/>
      <c r="BJ309" s="110"/>
      <c r="BK309" s="110"/>
      <c r="BL309" s="110"/>
      <c r="BM309" s="110"/>
      <c r="BN309" s="110"/>
      <c r="BO309" s="110"/>
      <c r="BP309" s="110"/>
      <c r="BQ309" s="110"/>
      <c r="BR309" s="110"/>
      <c r="BS309" s="110"/>
      <c r="BT309" s="110"/>
      <c r="BU309" s="110"/>
      <c r="BV309" s="110"/>
      <c r="BW309" s="110"/>
      <c r="BX309" s="110"/>
      <c r="BY309" s="110"/>
      <c r="BZ309" s="110"/>
      <c r="CA309" s="110"/>
      <c r="CB309" s="110"/>
      <c r="CC309" s="110"/>
    </row>
    <row r="310" spans="1:81" ht="12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  <c r="AW310" s="110"/>
      <c r="AX310" s="110"/>
      <c r="AY310" s="110"/>
      <c r="AZ310" s="110"/>
      <c r="BA310" s="110"/>
      <c r="BB310" s="110"/>
      <c r="BC310" s="110"/>
      <c r="BD310" s="110"/>
      <c r="BE310" s="110"/>
      <c r="BF310" s="110"/>
      <c r="BG310" s="110"/>
      <c r="BH310" s="110"/>
      <c r="BI310" s="110"/>
      <c r="BJ310" s="110"/>
      <c r="BK310" s="110"/>
      <c r="BL310" s="110"/>
      <c r="BM310" s="110"/>
      <c r="BN310" s="110"/>
      <c r="BO310" s="110"/>
      <c r="BP310" s="110"/>
      <c r="BQ310" s="110"/>
      <c r="BR310" s="110"/>
      <c r="BS310" s="110"/>
      <c r="BT310" s="110"/>
      <c r="BU310" s="110"/>
      <c r="BV310" s="110"/>
      <c r="BW310" s="110"/>
      <c r="BX310" s="110"/>
      <c r="BY310" s="110"/>
      <c r="BZ310" s="110"/>
      <c r="CA310" s="110"/>
      <c r="CB310" s="110"/>
      <c r="CC310" s="110"/>
    </row>
    <row r="311" spans="1:81" ht="12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  <c r="AW311" s="110"/>
      <c r="AX311" s="110"/>
      <c r="AY311" s="110"/>
      <c r="AZ311" s="110"/>
      <c r="BA311" s="110"/>
      <c r="BB311" s="110"/>
      <c r="BC311" s="110"/>
      <c r="BD311" s="110"/>
      <c r="BE311" s="110"/>
      <c r="BF311" s="110"/>
      <c r="BG311" s="110"/>
      <c r="BH311" s="110"/>
      <c r="BI311" s="110"/>
      <c r="BJ311" s="110"/>
      <c r="BK311" s="110"/>
      <c r="BL311" s="110"/>
      <c r="BM311" s="110"/>
      <c r="BN311" s="110"/>
      <c r="BO311" s="110"/>
      <c r="BP311" s="110"/>
      <c r="BQ311" s="110"/>
      <c r="BR311" s="110"/>
      <c r="BS311" s="110"/>
      <c r="BT311" s="110"/>
      <c r="BU311" s="110"/>
      <c r="BV311" s="110"/>
      <c r="BW311" s="110"/>
      <c r="BX311" s="110"/>
      <c r="BY311" s="110"/>
      <c r="BZ311" s="110"/>
      <c r="CA311" s="110"/>
      <c r="CB311" s="110"/>
      <c r="CC311" s="110"/>
    </row>
    <row r="312" spans="1:81" ht="12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  <c r="AW312" s="110"/>
      <c r="AX312" s="110"/>
      <c r="AY312" s="110"/>
      <c r="AZ312" s="110"/>
      <c r="BA312" s="110"/>
      <c r="BB312" s="110"/>
      <c r="BC312" s="110"/>
      <c r="BD312" s="110"/>
      <c r="BE312" s="110"/>
      <c r="BF312" s="110"/>
      <c r="BG312" s="110"/>
      <c r="BH312" s="110"/>
      <c r="BI312" s="110"/>
      <c r="BJ312" s="110"/>
      <c r="BK312" s="110"/>
      <c r="BL312" s="110"/>
      <c r="BM312" s="110"/>
      <c r="BN312" s="110"/>
      <c r="BO312" s="110"/>
      <c r="BP312" s="110"/>
      <c r="BQ312" s="110"/>
      <c r="BR312" s="110"/>
      <c r="BS312" s="110"/>
      <c r="BT312" s="110"/>
      <c r="BU312" s="110"/>
      <c r="BV312" s="110"/>
      <c r="BW312" s="110"/>
      <c r="BX312" s="110"/>
      <c r="BY312" s="110"/>
      <c r="BZ312" s="110"/>
      <c r="CA312" s="110"/>
      <c r="CB312" s="110"/>
      <c r="CC312" s="110"/>
    </row>
    <row r="313" spans="1:81" ht="12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  <c r="AW313" s="110"/>
      <c r="AX313" s="110"/>
      <c r="AY313" s="110"/>
      <c r="AZ313" s="110"/>
      <c r="BA313" s="110"/>
      <c r="BB313" s="110"/>
      <c r="BC313" s="110"/>
      <c r="BD313" s="110"/>
      <c r="BE313" s="110"/>
      <c r="BF313" s="110"/>
      <c r="BG313" s="110"/>
      <c r="BH313" s="110"/>
      <c r="BI313" s="110"/>
      <c r="BJ313" s="110"/>
      <c r="BK313" s="110"/>
      <c r="BL313" s="110"/>
      <c r="BM313" s="110"/>
      <c r="BN313" s="110"/>
      <c r="BO313" s="110"/>
      <c r="BP313" s="110"/>
      <c r="BQ313" s="110"/>
      <c r="BR313" s="110"/>
      <c r="BS313" s="110"/>
      <c r="BT313" s="110"/>
      <c r="BU313" s="110"/>
      <c r="BV313" s="110"/>
      <c r="BW313" s="110"/>
      <c r="BX313" s="110"/>
      <c r="BY313" s="110"/>
      <c r="BZ313" s="110"/>
      <c r="CA313" s="110"/>
      <c r="CB313" s="110"/>
      <c r="CC313" s="110"/>
    </row>
    <row r="314" spans="1:81" ht="12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  <c r="AV314" s="110"/>
      <c r="AW314" s="110"/>
      <c r="AX314" s="110"/>
      <c r="AY314" s="110"/>
      <c r="AZ314" s="110"/>
      <c r="BA314" s="110"/>
      <c r="BB314" s="110"/>
      <c r="BC314" s="110"/>
      <c r="BD314" s="110"/>
      <c r="BE314" s="110"/>
      <c r="BF314" s="110"/>
      <c r="BG314" s="110"/>
      <c r="BH314" s="110"/>
      <c r="BI314" s="110"/>
      <c r="BJ314" s="110"/>
      <c r="BK314" s="110"/>
      <c r="BL314" s="110"/>
      <c r="BM314" s="110"/>
      <c r="BN314" s="110"/>
      <c r="BO314" s="110"/>
      <c r="BP314" s="110"/>
      <c r="BQ314" s="110"/>
      <c r="BR314" s="110"/>
      <c r="BS314" s="110"/>
      <c r="BT314" s="110"/>
      <c r="BU314" s="110"/>
      <c r="BV314" s="110"/>
      <c r="BW314" s="110"/>
      <c r="BX314" s="110"/>
      <c r="BY314" s="110"/>
      <c r="BZ314" s="110"/>
      <c r="CA314" s="110"/>
      <c r="CB314" s="110"/>
      <c r="CC314" s="110"/>
    </row>
    <row r="315" spans="1:81" ht="12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  <c r="AV315" s="110"/>
      <c r="AW315" s="110"/>
      <c r="AX315" s="110"/>
      <c r="AY315" s="110"/>
      <c r="AZ315" s="110"/>
      <c r="BA315" s="110"/>
      <c r="BB315" s="110"/>
      <c r="BC315" s="110"/>
      <c r="BD315" s="110"/>
      <c r="BE315" s="110"/>
      <c r="BF315" s="110"/>
      <c r="BG315" s="110"/>
      <c r="BH315" s="110"/>
      <c r="BI315" s="110"/>
      <c r="BJ315" s="110"/>
      <c r="BK315" s="110"/>
      <c r="BL315" s="110"/>
      <c r="BM315" s="110"/>
      <c r="BN315" s="110"/>
      <c r="BO315" s="110"/>
      <c r="BP315" s="110"/>
      <c r="BQ315" s="110"/>
      <c r="BR315" s="110"/>
      <c r="BS315" s="110"/>
      <c r="BT315" s="110"/>
      <c r="BU315" s="110"/>
      <c r="BV315" s="110"/>
      <c r="BW315" s="110"/>
      <c r="BX315" s="110"/>
      <c r="BY315" s="110"/>
      <c r="BZ315" s="110"/>
      <c r="CA315" s="110"/>
      <c r="CB315" s="110"/>
      <c r="CC315" s="110"/>
    </row>
    <row r="316" spans="1:81" ht="12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  <c r="AW316" s="110"/>
      <c r="AX316" s="110"/>
      <c r="AY316" s="110"/>
      <c r="AZ316" s="110"/>
      <c r="BA316" s="110"/>
      <c r="BB316" s="110"/>
      <c r="BC316" s="110"/>
      <c r="BD316" s="110"/>
      <c r="BE316" s="110"/>
      <c r="BF316" s="110"/>
      <c r="BG316" s="110"/>
      <c r="BH316" s="110"/>
      <c r="BI316" s="110"/>
      <c r="BJ316" s="110"/>
      <c r="BK316" s="110"/>
      <c r="BL316" s="110"/>
      <c r="BM316" s="110"/>
      <c r="BN316" s="110"/>
      <c r="BO316" s="110"/>
      <c r="BP316" s="110"/>
      <c r="BQ316" s="110"/>
      <c r="BR316" s="110"/>
      <c r="BS316" s="110"/>
      <c r="BT316" s="110"/>
      <c r="BU316" s="110"/>
      <c r="BV316" s="110"/>
      <c r="BW316" s="110"/>
      <c r="BX316" s="110"/>
      <c r="BY316" s="110"/>
      <c r="BZ316" s="110"/>
      <c r="CA316" s="110"/>
      <c r="CB316" s="110"/>
      <c r="CC316" s="110"/>
    </row>
    <row r="317" spans="1:81" ht="12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  <c r="AV317" s="110"/>
      <c r="AW317" s="110"/>
      <c r="AX317" s="110"/>
      <c r="AY317" s="110"/>
      <c r="AZ317" s="110"/>
      <c r="BA317" s="110"/>
      <c r="BB317" s="110"/>
      <c r="BC317" s="110"/>
      <c r="BD317" s="110"/>
      <c r="BE317" s="110"/>
      <c r="BF317" s="110"/>
      <c r="BG317" s="110"/>
      <c r="BH317" s="110"/>
      <c r="BI317" s="110"/>
      <c r="BJ317" s="110"/>
      <c r="BK317" s="110"/>
      <c r="BL317" s="110"/>
      <c r="BM317" s="110"/>
      <c r="BN317" s="110"/>
      <c r="BO317" s="110"/>
      <c r="BP317" s="110"/>
      <c r="BQ317" s="110"/>
      <c r="BR317" s="110"/>
      <c r="BS317" s="110"/>
      <c r="BT317" s="110"/>
      <c r="BU317" s="110"/>
      <c r="BV317" s="110"/>
      <c r="BW317" s="110"/>
      <c r="BX317" s="110"/>
      <c r="BY317" s="110"/>
      <c r="BZ317" s="110"/>
      <c r="CA317" s="110"/>
      <c r="CB317" s="110"/>
      <c r="CC317" s="110"/>
    </row>
    <row r="318" spans="1:81" ht="12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  <c r="AV318" s="110"/>
      <c r="AW318" s="110"/>
      <c r="AX318" s="110"/>
      <c r="AY318" s="110"/>
      <c r="AZ318" s="110"/>
      <c r="BA318" s="110"/>
      <c r="BB318" s="110"/>
      <c r="BC318" s="110"/>
      <c r="BD318" s="110"/>
      <c r="BE318" s="110"/>
      <c r="BF318" s="110"/>
      <c r="BG318" s="110"/>
      <c r="BH318" s="110"/>
      <c r="BI318" s="110"/>
      <c r="BJ318" s="110"/>
      <c r="BK318" s="110"/>
      <c r="BL318" s="110"/>
      <c r="BM318" s="110"/>
      <c r="BN318" s="110"/>
      <c r="BO318" s="110"/>
      <c r="BP318" s="110"/>
      <c r="BQ318" s="110"/>
      <c r="BR318" s="110"/>
      <c r="BS318" s="110"/>
      <c r="BT318" s="110"/>
      <c r="BU318" s="110"/>
      <c r="BV318" s="110"/>
      <c r="BW318" s="110"/>
      <c r="BX318" s="110"/>
      <c r="BY318" s="110"/>
      <c r="BZ318" s="110"/>
      <c r="CA318" s="110"/>
      <c r="CB318" s="110"/>
      <c r="CC318" s="110"/>
    </row>
    <row r="319" spans="1:81" ht="12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  <c r="AV319" s="110"/>
      <c r="AW319" s="110"/>
      <c r="AX319" s="110"/>
      <c r="AY319" s="110"/>
      <c r="AZ319" s="110"/>
      <c r="BA319" s="110"/>
      <c r="BB319" s="110"/>
      <c r="BC319" s="110"/>
      <c r="BD319" s="110"/>
      <c r="BE319" s="110"/>
      <c r="BF319" s="110"/>
      <c r="BG319" s="110"/>
      <c r="BH319" s="110"/>
      <c r="BI319" s="110"/>
      <c r="BJ319" s="110"/>
      <c r="BK319" s="110"/>
      <c r="BL319" s="110"/>
      <c r="BM319" s="110"/>
      <c r="BN319" s="110"/>
      <c r="BO319" s="110"/>
      <c r="BP319" s="110"/>
      <c r="BQ319" s="110"/>
      <c r="BR319" s="110"/>
      <c r="BS319" s="110"/>
      <c r="BT319" s="110"/>
      <c r="BU319" s="110"/>
      <c r="BV319" s="110"/>
      <c r="BW319" s="110"/>
      <c r="BX319" s="110"/>
      <c r="BY319" s="110"/>
      <c r="BZ319" s="110"/>
      <c r="CA319" s="110"/>
      <c r="CB319" s="110"/>
      <c r="CC319" s="110"/>
    </row>
    <row r="320" spans="1:81" ht="12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  <c r="AV320" s="110"/>
      <c r="AW320" s="110"/>
      <c r="AX320" s="110"/>
      <c r="AY320" s="110"/>
      <c r="AZ320" s="110"/>
      <c r="BA320" s="110"/>
      <c r="BB320" s="110"/>
      <c r="BC320" s="110"/>
      <c r="BD320" s="110"/>
      <c r="BE320" s="110"/>
      <c r="BF320" s="110"/>
      <c r="BG320" s="110"/>
      <c r="BH320" s="110"/>
      <c r="BI320" s="110"/>
      <c r="BJ320" s="110"/>
      <c r="BK320" s="110"/>
      <c r="BL320" s="110"/>
      <c r="BM320" s="110"/>
      <c r="BN320" s="110"/>
      <c r="BO320" s="110"/>
      <c r="BP320" s="110"/>
      <c r="BQ320" s="110"/>
      <c r="BR320" s="110"/>
      <c r="BS320" s="110"/>
      <c r="BT320" s="110"/>
      <c r="BU320" s="110"/>
      <c r="BV320" s="110"/>
      <c r="BW320" s="110"/>
      <c r="BX320" s="110"/>
      <c r="BY320" s="110"/>
      <c r="BZ320" s="110"/>
      <c r="CA320" s="110"/>
      <c r="CB320" s="110"/>
      <c r="CC320" s="110"/>
    </row>
    <row r="321" spans="1:81" ht="12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  <c r="AV321" s="110"/>
      <c r="AW321" s="110"/>
      <c r="AX321" s="110"/>
      <c r="AY321" s="110"/>
      <c r="AZ321" s="110"/>
      <c r="BA321" s="110"/>
      <c r="BB321" s="110"/>
      <c r="BC321" s="110"/>
      <c r="BD321" s="110"/>
      <c r="BE321" s="110"/>
      <c r="BF321" s="110"/>
      <c r="BG321" s="110"/>
      <c r="BH321" s="110"/>
      <c r="BI321" s="110"/>
      <c r="BJ321" s="110"/>
      <c r="BK321" s="110"/>
      <c r="BL321" s="110"/>
      <c r="BM321" s="110"/>
      <c r="BN321" s="110"/>
      <c r="BO321" s="110"/>
      <c r="BP321" s="110"/>
      <c r="BQ321" s="110"/>
      <c r="BR321" s="110"/>
      <c r="BS321" s="110"/>
      <c r="BT321" s="110"/>
      <c r="BU321" s="110"/>
      <c r="BV321" s="110"/>
      <c r="BW321" s="110"/>
      <c r="BX321" s="110"/>
      <c r="BY321" s="110"/>
      <c r="BZ321" s="110"/>
      <c r="CA321" s="110"/>
      <c r="CB321" s="110"/>
      <c r="CC321" s="110"/>
    </row>
    <row r="322" spans="1:81" ht="12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  <c r="AV322" s="110"/>
      <c r="AW322" s="110"/>
      <c r="AX322" s="110"/>
      <c r="AY322" s="110"/>
      <c r="AZ322" s="110"/>
      <c r="BA322" s="110"/>
      <c r="BB322" s="110"/>
      <c r="BC322" s="110"/>
      <c r="BD322" s="110"/>
      <c r="BE322" s="110"/>
      <c r="BF322" s="110"/>
      <c r="BG322" s="110"/>
      <c r="BH322" s="110"/>
      <c r="BI322" s="110"/>
      <c r="BJ322" s="110"/>
      <c r="BK322" s="110"/>
      <c r="BL322" s="110"/>
      <c r="BM322" s="110"/>
      <c r="BN322" s="110"/>
      <c r="BO322" s="110"/>
      <c r="BP322" s="110"/>
      <c r="BQ322" s="110"/>
      <c r="BR322" s="110"/>
      <c r="BS322" s="110"/>
      <c r="BT322" s="110"/>
      <c r="BU322" s="110"/>
      <c r="BV322" s="110"/>
      <c r="BW322" s="110"/>
      <c r="BX322" s="110"/>
      <c r="BY322" s="110"/>
      <c r="BZ322" s="110"/>
      <c r="CA322" s="110"/>
      <c r="CB322" s="110"/>
      <c r="CC322" s="110"/>
    </row>
    <row r="323" spans="1:81" ht="12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  <c r="AW323" s="110"/>
      <c r="AX323" s="110"/>
      <c r="AY323" s="110"/>
      <c r="AZ323" s="110"/>
      <c r="BA323" s="110"/>
      <c r="BB323" s="110"/>
      <c r="BC323" s="110"/>
      <c r="BD323" s="110"/>
      <c r="BE323" s="110"/>
      <c r="BF323" s="110"/>
      <c r="BG323" s="110"/>
      <c r="BH323" s="110"/>
      <c r="BI323" s="110"/>
      <c r="BJ323" s="110"/>
      <c r="BK323" s="110"/>
      <c r="BL323" s="110"/>
      <c r="BM323" s="110"/>
      <c r="BN323" s="110"/>
      <c r="BO323" s="110"/>
      <c r="BP323" s="110"/>
      <c r="BQ323" s="110"/>
      <c r="BR323" s="110"/>
      <c r="BS323" s="110"/>
      <c r="BT323" s="110"/>
      <c r="BU323" s="110"/>
      <c r="BV323" s="110"/>
      <c r="BW323" s="110"/>
      <c r="BX323" s="110"/>
      <c r="BY323" s="110"/>
      <c r="BZ323" s="110"/>
      <c r="CA323" s="110"/>
      <c r="CB323" s="110"/>
      <c r="CC323" s="110"/>
    </row>
    <row r="324" spans="1:81" ht="12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  <c r="AW324" s="110"/>
      <c r="AX324" s="110"/>
      <c r="AY324" s="110"/>
      <c r="AZ324" s="110"/>
      <c r="BA324" s="110"/>
      <c r="BB324" s="110"/>
      <c r="BC324" s="110"/>
      <c r="BD324" s="110"/>
      <c r="BE324" s="110"/>
      <c r="BF324" s="110"/>
      <c r="BG324" s="110"/>
      <c r="BH324" s="110"/>
      <c r="BI324" s="110"/>
      <c r="BJ324" s="110"/>
      <c r="BK324" s="110"/>
      <c r="BL324" s="110"/>
      <c r="BM324" s="110"/>
      <c r="BN324" s="110"/>
      <c r="BO324" s="110"/>
      <c r="BP324" s="110"/>
      <c r="BQ324" s="110"/>
      <c r="BR324" s="110"/>
      <c r="BS324" s="110"/>
      <c r="BT324" s="110"/>
      <c r="BU324" s="110"/>
      <c r="BV324" s="110"/>
      <c r="BW324" s="110"/>
      <c r="BX324" s="110"/>
      <c r="BY324" s="110"/>
      <c r="BZ324" s="110"/>
      <c r="CA324" s="110"/>
      <c r="CB324" s="110"/>
      <c r="CC324" s="110"/>
    </row>
    <row r="325" spans="1:81" ht="12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10"/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10"/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10"/>
      <c r="BX325" s="110"/>
      <c r="BY325" s="110"/>
      <c r="BZ325" s="110"/>
      <c r="CA325" s="110"/>
      <c r="CB325" s="110"/>
      <c r="CC325" s="110"/>
    </row>
    <row r="326" spans="1:81" ht="12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10"/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10"/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10"/>
      <c r="BX326" s="110"/>
      <c r="BY326" s="110"/>
      <c r="BZ326" s="110"/>
      <c r="CA326" s="110"/>
      <c r="CB326" s="110"/>
      <c r="CC326" s="110"/>
    </row>
    <row r="327" spans="1:81" ht="12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10"/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10"/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10"/>
      <c r="BX327" s="110"/>
      <c r="BY327" s="110"/>
      <c r="BZ327" s="110"/>
      <c r="CA327" s="110"/>
      <c r="CB327" s="110"/>
      <c r="CC327" s="110"/>
    </row>
    <row r="328" spans="1:81" ht="12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10"/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10"/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10"/>
      <c r="BX328" s="110"/>
      <c r="BY328" s="110"/>
      <c r="BZ328" s="110"/>
      <c r="CA328" s="110"/>
      <c r="CB328" s="110"/>
      <c r="CC328" s="110"/>
    </row>
    <row r="329" spans="1:81" ht="12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10"/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10"/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10"/>
      <c r="BX329" s="110"/>
      <c r="BY329" s="110"/>
      <c r="BZ329" s="110"/>
      <c r="CA329" s="110"/>
      <c r="CB329" s="110"/>
      <c r="CC329" s="110"/>
    </row>
    <row r="330" spans="1:81" ht="12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  <c r="AW330" s="110"/>
      <c r="AX330" s="110"/>
      <c r="AY330" s="110"/>
      <c r="AZ330" s="110"/>
      <c r="BA330" s="110"/>
      <c r="BB330" s="110"/>
      <c r="BC330" s="110"/>
      <c r="BD330" s="110"/>
      <c r="BE330" s="110"/>
      <c r="BF330" s="110"/>
      <c r="BG330" s="110"/>
      <c r="BH330" s="110"/>
      <c r="BI330" s="110"/>
      <c r="BJ330" s="110"/>
      <c r="BK330" s="110"/>
      <c r="BL330" s="110"/>
      <c r="BM330" s="110"/>
      <c r="BN330" s="110"/>
      <c r="BO330" s="110"/>
      <c r="BP330" s="110"/>
      <c r="BQ330" s="110"/>
      <c r="BR330" s="110"/>
      <c r="BS330" s="110"/>
      <c r="BT330" s="110"/>
      <c r="BU330" s="110"/>
      <c r="BV330" s="110"/>
      <c r="BW330" s="110"/>
      <c r="BX330" s="110"/>
      <c r="BY330" s="110"/>
      <c r="BZ330" s="110"/>
      <c r="CA330" s="110"/>
      <c r="CB330" s="110"/>
      <c r="CC330" s="110"/>
    </row>
    <row r="331" spans="1:81" ht="12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0"/>
      <c r="AW331" s="110"/>
      <c r="AX331" s="110"/>
      <c r="AY331" s="110"/>
      <c r="AZ331" s="110"/>
      <c r="BA331" s="110"/>
      <c r="BB331" s="110"/>
      <c r="BC331" s="110"/>
      <c r="BD331" s="110"/>
      <c r="BE331" s="110"/>
      <c r="BF331" s="110"/>
      <c r="BG331" s="110"/>
      <c r="BH331" s="110"/>
      <c r="BI331" s="110"/>
      <c r="BJ331" s="110"/>
      <c r="BK331" s="110"/>
      <c r="BL331" s="110"/>
      <c r="BM331" s="110"/>
      <c r="BN331" s="110"/>
      <c r="BO331" s="110"/>
      <c r="BP331" s="110"/>
      <c r="BQ331" s="110"/>
      <c r="BR331" s="110"/>
      <c r="BS331" s="110"/>
      <c r="BT331" s="110"/>
      <c r="BU331" s="110"/>
      <c r="BV331" s="110"/>
      <c r="BW331" s="110"/>
      <c r="BX331" s="110"/>
      <c r="BY331" s="110"/>
      <c r="BZ331" s="110"/>
      <c r="CA331" s="110"/>
      <c r="CB331" s="110"/>
      <c r="CC331" s="110"/>
    </row>
    <row r="332" spans="1:81" ht="12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0"/>
      <c r="AW332" s="110"/>
      <c r="AX332" s="110"/>
      <c r="AY332" s="110"/>
      <c r="AZ332" s="110"/>
      <c r="BA332" s="110"/>
      <c r="BB332" s="110"/>
      <c r="BC332" s="110"/>
      <c r="BD332" s="110"/>
      <c r="BE332" s="110"/>
      <c r="BF332" s="110"/>
      <c r="BG332" s="110"/>
      <c r="BH332" s="110"/>
      <c r="BI332" s="110"/>
      <c r="BJ332" s="110"/>
      <c r="BK332" s="110"/>
      <c r="BL332" s="110"/>
      <c r="BM332" s="110"/>
      <c r="BN332" s="110"/>
      <c r="BO332" s="110"/>
      <c r="BP332" s="110"/>
      <c r="BQ332" s="110"/>
      <c r="BR332" s="110"/>
      <c r="BS332" s="110"/>
      <c r="BT332" s="110"/>
      <c r="BU332" s="110"/>
      <c r="BV332" s="110"/>
      <c r="BW332" s="110"/>
      <c r="BX332" s="110"/>
      <c r="BY332" s="110"/>
      <c r="BZ332" s="110"/>
      <c r="CA332" s="110"/>
      <c r="CB332" s="110"/>
      <c r="CC332" s="110"/>
    </row>
    <row r="333" spans="1:81" ht="12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0"/>
      <c r="AW333" s="110"/>
      <c r="AX333" s="110"/>
      <c r="AY333" s="110"/>
      <c r="AZ333" s="110"/>
      <c r="BA333" s="110"/>
      <c r="BB333" s="110"/>
      <c r="BC333" s="110"/>
      <c r="BD333" s="110"/>
      <c r="BE333" s="110"/>
      <c r="BF333" s="110"/>
      <c r="BG333" s="110"/>
      <c r="BH333" s="110"/>
      <c r="BI333" s="110"/>
      <c r="BJ333" s="110"/>
      <c r="BK333" s="110"/>
      <c r="BL333" s="110"/>
      <c r="BM333" s="110"/>
      <c r="BN333" s="110"/>
      <c r="BO333" s="110"/>
      <c r="BP333" s="110"/>
      <c r="BQ333" s="110"/>
      <c r="BR333" s="110"/>
      <c r="BS333" s="110"/>
      <c r="BT333" s="110"/>
      <c r="BU333" s="110"/>
      <c r="BV333" s="110"/>
      <c r="BW333" s="110"/>
      <c r="BX333" s="110"/>
      <c r="BY333" s="110"/>
      <c r="BZ333" s="110"/>
      <c r="CA333" s="110"/>
      <c r="CB333" s="110"/>
      <c r="CC333" s="110"/>
    </row>
    <row r="334" spans="1:81" ht="12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  <c r="AV334" s="110"/>
      <c r="AW334" s="110"/>
      <c r="AX334" s="110"/>
      <c r="AY334" s="110"/>
      <c r="AZ334" s="110"/>
      <c r="BA334" s="110"/>
      <c r="BB334" s="110"/>
      <c r="BC334" s="110"/>
      <c r="BD334" s="110"/>
      <c r="BE334" s="110"/>
      <c r="BF334" s="110"/>
      <c r="BG334" s="110"/>
      <c r="BH334" s="110"/>
      <c r="BI334" s="110"/>
      <c r="BJ334" s="110"/>
      <c r="BK334" s="110"/>
      <c r="BL334" s="110"/>
      <c r="BM334" s="110"/>
      <c r="BN334" s="110"/>
      <c r="BO334" s="110"/>
      <c r="BP334" s="110"/>
      <c r="BQ334" s="110"/>
      <c r="BR334" s="110"/>
      <c r="BS334" s="110"/>
      <c r="BT334" s="110"/>
      <c r="BU334" s="110"/>
      <c r="BV334" s="110"/>
      <c r="BW334" s="110"/>
      <c r="BX334" s="110"/>
      <c r="BY334" s="110"/>
      <c r="BZ334" s="110"/>
      <c r="CA334" s="110"/>
      <c r="CB334" s="110"/>
      <c r="CC334" s="110"/>
    </row>
    <row r="335" spans="1:81" ht="12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  <c r="AV335" s="110"/>
      <c r="AW335" s="110"/>
      <c r="AX335" s="110"/>
      <c r="AY335" s="110"/>
      <c r="AZ335" s="110"/>
      <c r="BA335" s="110"/>
      <c r="BB335" s="110"/>
      <c r="BC335" s="110"/>
      <c r="BD335" s="110"/>
      <c r="BE335" s="110"/>
      <c r="BF335" s="110"/>
      <c r="BG335" s="110"/>
      <c r="BH335" s="110"/>
      <c r="BI335" s="110"/>
      <c r="BJ335" s="110"/>
      <c r="BK335" s="110"/>
      <c r="BL335" s="110"/>
      <c r="BM335" s="110"/>
      <c r="BN335" s="110"/>
      <c r="BO335" s="110"/>
      <c r="BP335" s="110"/>
      <c r="BQ335" s="110"/>
      <c r="BR335" s="110"/>
      <c r="BS335" s="110"/>
      <c r="BT335" s="110"/>
      <c r="BU335" s="110"/>
      <c r="BV335" s="110"/>
      <c r="BW335" s="110"/>
      <c r="BX335" s="110"/>
      <c r="BY335" s="110"/>
      <c r="BZ335" s="110"/>
      <c r="CA335" s="110"/>
      <c r="CB335" s="110"/>
      <c r="CC335" s="110"/>
    </row>
    <row r="336" spans="1:81" ht="12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  <c r="AV336" s="110"/>
      <c r="AW336" s="110"/>
      <c r="AX336" s="110"/>
      <c r="AY336" s="110"/>
      <c r="AZ336" s="110"/>
      <c r="BA336" s="110"/>
      <c r="BB336" s="110"/>
      <c r="BC336" s="110"/>
      <c r="BD336" s="110"/>
      <c r="BE336" s="110"/>
      <c r="BF336" s="110"/>
      <c r="BG336" s="110"/>
      <c r="BH336" s="110"/>
      <c r="BI336" s="110"/>
      <c r="BJ336" s="110"/>
      <c r="BK336" s="110"/>
      <c r="BL336" s="110"/>
      <c r="BM336" s="110"/>
      <c r="BN336" s="110"/>
      <c r="BO336" s="110"/>
      <c r="BP336" s="110"/>
      <c r="BQ336" s="110"/>
      <c r="BR336" s="110"/>
      <c r="BS336" s="110"/>
      <c r="BT336" s="110"/>
      <c r="BU336" s="110"/>
      <c r="BV336" s="110"/>
      <c r="BW336" s="110"/>
      <c r="BX336" s="110"/>
      <c r="BY336" s="110"/>
      <c r="BZ336" s="110"/>
      <c r="CA336" s="110"/>
      <c r="CB336" s="110"/>
      <c r="CC336" s="110"/>
    </row>
    <row r="337" spans="1:81" ht="12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  <c r="AV337" s="110"/>
      <c r="AW337" s="110"/>
      <c r="AX337" s="110"/>
      <c r="AY337" s="110"/>
      <c r="AZ337" s="110"/>
      <c r="BA337" s="110"/>
      <c r="BB337" s="110"/>
      <c r="BC337" s="110"/>
      <c r="BD337" s="110"/>
      <c r="BE337" s="110"/>
      <c r="BF337" s="110"/>
      <c r="BG337" s="110"/>
      <c r="BH337" s="110"/>
      <c r="BI337" s="110"/>
      <c r="BJ337" s="110"/>
      <c r="BK337" s="110"/>
      <c r="BL337" s="110"/>
      <c r="BM337" s="110"/>
      <c r="BN337" s="110"/>
      <c r="BO337" s="110"/>
      <c r="BP337" s="110"/>
      <c r="BQ337" s="110"/>
      <c r="BR337" s="110"/>
      <c r="BS337" s="110"/>
      <c r="BT337" s="110"/>
      <c r="BU337" s="110"/>
      <c r="BV337" s="110"/>
      <c r="BW337" s="110"/>
      <c r="BX337" s="110"/>
      <c r="BY337" s="110"/>
      <c r="BZ337" s="110"/>
      <c r="CA337" s="110"/>
      <c r="CB337" s="110"/>
      <c r="CC337" s="110"/>
    </row>
    <row r="338" spans="1:81" ht="12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  <c r="AV338" s="110"/>
      <c r="AW338" s="110"/>
      <c r="AX338" s="110"/>
      <c r="AY338" s="110"/>
      <c r="AZ338" s="110"/>
      <c r="BA338" s="110"/>
      <c r="BB338" s="110"/>
      <c r="BC338" s="110"/>
      <c r="BD338" s="110"/>
      <c r="BE338" s="110"/>
      <c r="BF338" s="110"/>
      <c r="BG338" s="110"/>
      <c r="BH338" s="110"/>
      <c r="BI338" s="110"/>
      <c r="BJ338" s="110"/>
      <c r="BK338" s="110"/>
      <c r="BL338" s="110"/>
      <c r="BM338" s="110"/>
      <c r="BN338" s="110"/>
      <c r="BO338" s="110"/>
      <c r="BP338" s="110"/>
      <c r="BQ338" s="110"/>
      <c r="BR338" s="110"/>
      <c r="BS338" s="110"/>
      <c r="BT338" s="110"/>
      <c r="BU338" s="110"/>
      <c r="BV338" s="110"/>
      <c r="BW338" s="110"/>
      <c r="BX338" s="110"/>
      <c r="BY338" s="110"/>
      <c r="BZ338" s="110"/>
      <c r="CA338" s="110"/>
      <c r="CB338" s="110"/>
      <c r="CC338" s="110"/>
    </row>
    <row r="339" spans="1:81" ht="12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  <c r="AV339" s="110"/>
      <c r="AW339" s="110"/>
      <c r="AX339" s="110"/>
      <c r="AY339" s="110"/>
      <c r="AZ339" s="110"/>
      <c r="BA339" s="110"/>
      <c r="BB339" s="110"/>
      <c r="BC339" s="110"/>
      <c r="BD339" s="110"/>
      <c r="BE339" s="110"/>
      <c r="BF339" s="110"/>
      <c r="BG339" s="110"/>
      <c r="BH339" s="110"/>
      <c r="BI339" s="110"/>
      <c r="BJ339" s="110"/>
      <c r="BK339" s="110"/>
      <c r="BL339" s="110"/>
      <c r="BM339" s="110"/>
      <c r="BN339" s="110"/>
      <c r="BO339" s="110"/>
      <c r="BP339" s="110"/>
      <c r="BQ339" s="110"/>
      <c r="BR339" s="110"/>
      <c r="BS339" s="110"/>
      <c r="BT339" s="110"/>
      <c r="BU339" s="110"/>
      <c r="BV339" s="110"/>
      <c r="BW339" s="110"/>
      <c r="BX339" s="110"/>
      <c r="BY339" s="110"/>
      <c r="BZ339" s="110"/>
      <c r="CA339" s="110"/>
      <c r="CB339" s="110"/>
      <c r="CC339" s="110"/>
    </row>
    <row r="340" spans="1:81" ht="12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10"/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10"/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10"/>
      <c r="BX340" s="110"/>
      <c r="BY340" s="110"/>
      <c r="BZ340" s="110"/>
      <c r="CA340" s="110"/>
      <c r="CB340" s="110"/>
      <c r="CC340" s="110"/>
    </row>
    <row r="341" spans="1:81" ht="12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  <c r="AV341" s="110"/>
      <c r="AW341" s="110"/>
      <c r="AX341" s="110"/>
      <c r="AY341" s="110"/>
      <c r="AZ341" s="110"/>
      <c r="BA341" s="110"/>
      <c r="BB341" s="110"/>
      <c r="BC341" s="110"/>
      <c r="BD341" s="110"/>
      <c r="BE341" s="110"/>
      <c r="BF341" s="110"/>
      <c r="BG341" s="110"/>
      <c r="BH341" s="110"/>
      <c r="BI341" s="110"/>
      <c r="BJ341" s="110"/>
      <c r="BK341" s="110"/>
      <c r="BL341" s="110"/>
      <c r="BM341" s="110"/>
      <c r="BN341" s="110"/>
      <c r="BO341" s="110"/>
      <c r="BP341" s="110"/>
      <c r="BQ341" s="110"/>
      <c r="BR341" s="110"/>
      <c r="BS341" s="110"/>
      <c r="BT341" s="110"/>
      <c r="BU341" s="110"/>
      <c r="BV341" s="110"/>
      <c r="BW341" s="110"/>
      <c r="BX341" s="110"/>
      <c r="BY341" s="110"/>
      <c r="BZ341" s="110"/>
      <c r="CA341" s="110"/>
      <c r="CB341" s="110"/>
      <c r="CC341" s="110"/>
    </row>
    <row r="342" spans="1:81" ht="12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  <c r="AW342" s="110"/>
      <c r="AX342" s="110"/>
      <c r="AY342" s="110"/>
      <c r="AZ342" s="110"/>
      <c r="BA342" s="110"/>
      <c r="BB342" s="110"/>
      <c r="BC342" s="110"/>
      <c r="BD342" s="110"/>
      <c r="BE342" s="110"/>
      <c r="BF342" s="110"/>
      <c r="BG342" s="110"/>
      <c r="BH342" s="110"/>
      <c r="BI342" s="110"/>
      <c r="BJ342" s="110"/>
      <c r="BK342" s="110"/>
      <c r="BL342" s="110"/>
      <c r="BM342" s="110"/>
      <c r="BN342" s="110"/>
      <c r="BO342" s="110"/>
      <c r="BP342" s="110"/>
      <c r="BQ342" s="110"/>
      <c r="BR342" s="110"/>
      <c r="BS342" s="110"/>
      <c r="BT342" s="110"/>
      <c r="BU342" s="110"/>
      <c r="BV342" s="110"/>
      <c r="BW342" s="110"/>
      <c r="BX342" s="110"/>
      <c r="BY342" s="110"/>
      <c r="BZ342" s="110"/>
      <c r="CA342" s="110"/>
      <c r="CB342" s="110"/>
      <c r="CC342" s="110"/>
    </row>
    <row r="343" spans="1:81" ht="12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  <c r="AV343" s="110"/>
      <c r="AW343" s="110"/>
      <c r="AX343" s="110"/>
      <c r="AY343" s="110"/>
      <c r="AZ343" s="110"/>
      <c r="BA343" s="110"/>
      <c r="BB343" s="110"/>
      <c r="BC343" s="110"/>
      <c r="BD343" s="110"/>
      <c r="BE343" s="110"/>
      <c r="BF343" s="110"/>
      <c r="BG343" s="110"/>
      <c r="BH343" s="110"/>
      <c r="BI343" s="110"/>
      <c r="BJ343" s="110"/>
      <c r="BK343" s="110"/>
      <c r="BL343" s="110"/>
      <c r="BM343" s="110"/>
      <c r="BN343" s="110"/>
      <c r="BO343" s="110"/>
      <c r="BP343" s="110"/>
      <c r="BQ343" s="110"/>
      <c r="BR343" s="110"/>
      <c r="BS343" s="110"/>
      <c r="BT343" s="110"/>
      <c r="BU343" s="110"/>
      <c r="BV343" s="110"/>
      <c r="BW343" s="110"/>
      <c r="BX343" s="110"/>
      <c r="BY343" s="110"/>
      <c r="BZ343" s="110"/>
      <c r="CA343" s="110"/>
      <c r="CB343" s="110"/>
      <c r="CC343" s="110"/>
    </row>
    <row r="344" spans="1:81" ht="12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  <c r="AW344" s="110"/>
      <c r="AX344" s="110"/>
      <c r="AY344" s="110"/>
      <c r="AZ344" s="110"/>
      <c r="BA344" s="110"/>
      <c r="BB344" s="110"/>
      <c r="BC344" s="110"/>
      <c r="BD344" s="110"/>
      <c r="BE344" s="110"/>
      <c r="BF344" s="110"/>
      <c r="BG344" s="110"/>
      <c r="BH344" s="110"/>
      <c r="BI344" s="110"/>
      <c r="BJ344" s="110"/>
      <c r="BK344" s="110"/>
      <c r="BL344" s="110"/>
      <c r="BM344" s="110"/>
      <c r="BN344" s="110"/>
      <c r="BO344" s="110"/>
      <c r="BP344" s="110"/>
      <c r="BQ344" s="110"/>
      <c r="BR344" s="110"/>
      <c r="BS344" s="110"/>
      <c r="BT344" s="110"/>
      <c r="BU344" s="110"/>
      <c r="BV344" s="110"/>
      <c r="BW344" s="110"/>
      <c r="BX344" s="110"/>
      <c r="BY344" s="110"/>
      <c r="BZ344" s="110"/>
      <c r="CA344" s="110"/>
      <c r="CB344" s="110"/>
      <c r="CC344" s="110"/>
    </row>
    <row r="345" spans="1:81" ht="12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110"/>
      <c r="AX345" s="110"/>
      <c r="AY345" s="110"/>
      <c r="AZ345" s="110"/>
      <c r="BA345" s="110"/>
      <c r="BB345" s="110"/>
      <c r="BC345" s="110"/>
      <c r="BD345" s="110"/>
      <c r="BE345" s="110"/>
      <c r="BF345" s="110"/>
      <c r="BG345" s="110"/>
      <c r="BH345" s="110"/>
      <c r="BI345" s="110"/>
      <c r="BJ345" s="110"/>
      <c r="BK345" s="110"/>
      <c r="BL345" s="110"/>
      <c r="BM345" s="110"/>
      <c r="BN345" s="110"/>
      <c r="BO345" s="110"/>
      <c r="BP345" s="110"/>
      <c r="BQ345" s="110"/>
      <c r="BR345" s="110"/>
      <c r="BS345" s="110"/>
      <c r="BT345" s="110"/>
      <c r="BU345" s="110"/>
      <c r="BV345" s="110"/>
      <c r="BW345" s="110"/>
      <c r="BX345" s="110"/>
      <c r="BY345" s="110"/>
      <c r="BZ345" s="110"/>
      <c r="CA345" s="110"/>
      <c r="CB345" s="110"/>
      <c r="CC345" s="110"/>
    </row>
    <row r="346" spans="1:81" ht="12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  <c r="AV346" s="110"/>
      <c r="AW346" s="110"/>
      <c r="AX346" s="110"/>
      <c r="AY346" s="110"/>
      <c r="AZ346" s="110"/>
      <c r="BA346" s="110"/>
      <c r="BB346" s="110"/>
      <c r="BC346" s="110"/>
      <c r="BD346" s="110"/>
      <c r="BE346" s="110"/>
      <c r="BF346" s="110"/>
      <c r="BG346" s="110"/>
      <c r="BH346" s="110"/>
      <c r="BI346" s="110"/>
      <c r="BJ346" s="110"/>
      <c r="BK346" s="110"/>
      <c r="BL346" s="110"/>
      <c r="BM346" s="110"/>
      <c r="BN346" s="110"/>
      <c r="BO346" s="110"/>
      <c r="BP346" s="110"/>
      <c r="BQ346" s="110"/>
      <c r="BR346" s="110"/>
      <c r="BS346" s="110"/>
      <c r="BT346" s="110"/>
      <c r="BU346" s="110"/>
      <c r="BV346" s="110"/>
      <c r="BW346" s="110"/>
      <c r="BX346" s="110"/>
      <c r="BY346" s="110"/>
      <c r="BZ346" s="110"/>
      <c r="CA346" s="110"/>
      <c r="CB346" s="110"/>
      <c r="CC346" s="110"/>
    </row>
    <row r="347" spans="1:81" ht="12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  <c r="AW347" s="110"/>
      <c r="AX347" s="110"/>
      <c r="AY347" s="110"/>
      <c r="AZ347" s="110"/>
      <c r="BA347" s="110"/>
      <c r="BB347" s="110"/>
      <c r="BC347" s="110"/>
      <c r="BD347" s="110"/>
      <c r="BE347" s="110"/>
      <c r="BF347" s="110"/>
      <c r="BG347" s="110"/>
      <c r="BH347" s="110"/>
      <c r="BI347" s="110"/>
      <c r="BJ347" s="110"/>
      <c r="BK347" s="110"/>
      <c r="BL347" s="110"/>
      <c r="BM347" s="110"/>
      <c r="BN347" s="110"/>
      <c r="BO347" s="110"/>
      <c r="BP347" s="110"/>
      <c r="BQ347" s="110"/>
      <c r="BR347" s="110"/>
      <c r="BS347" s="110"/>
      <c r="BT347" s="110"/>
      <c r="BU347" s="110"/>
      <c r="BV347" s="110"/>
      <c r="BW347" s="110"/>
      <c r="BX347" s="110"/>
      <c r="BY347" s="110"/>
      <c r="BZ347" s="110"/>
      <c r="CA347" s="110"/>
      <c r="CB347" s="110"/>
      <c r="CC347" s="110"/>
    </row>
    <row r="348" spans="1:81" ht="12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  <c r="AW348" s="110"/>
      <c r="AX348" s="110"/>
      <c r="AY348" s="110"/>
      <c r="AZ348" s="110"/>
      <c r="BA348" s="110"/>
      <c r="BB348" s="110"/>
      <c r="BC348" s="110"/>
      <c r="BD348" s="110"/>
      <c r="BE348" s="110"/>
      <c r="BF348" s="110"/>
      <c r="BG348" s="110"/>
      <c r="BH348" s="110"/>
      <c r="BI348" s="110"/>
      <c r="BJ348" s="110"/>
      <c r="BK348" s="110"/>
      <c r="BL348" s="110"/>
      <c r="BM348" s="110"/>
      <c r="BN348" s="110"/>
      <c r="BO348" s="110"/>
      <c r="BP348" s="110"/>
      <c r="BQ348" s="110"/>
      <c r="BR348" s="110"/>
      <c r="BS348" s="110"/>
      <c r="BT348" s="110"/>
      <c r="BU348" s="110"/>
      <c r="BV348" s="110"/>
      <c r="BW348" s="110"/>
      <c r="BX348" s="110"/>
      <c r="BY348" s="110"/>
      <c r="BZ348" s="110"/>
      <c r="CA348" s="110"/>
      <c r="CB348" s="110"/>
      <c r="CC348" s="110"/>
    </row>
    <row r="349" spans="1:81" ht="12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  <c r="AV349" s="110"/>
      <c r="AW349" s="110"/>
      <c r="AX349" s="110"/>
      <c r="AY349" s="110"/>
      <c r="AZ349" s="110"/>
      <c r="BA349" s="110"/>
      <c r="BB349" s="110"/>
      <c r="BC349" s="110"/>
      <c r="BD349" s="110"/>
      <c r="BE349" s="110"/>
      <c r="BF349" s="110"/>
      <c r="BG349" s="110"/>
      <c r="BH349" s="110"/>
      <c r="BI349" s="110"/>
      <c r="BJ349" s="110"/>
      <c r="BK349" s="110"/>
      <c r="BL349" s="110"/>
      <c r="BM349" s="110"/>
      <c r="BN349" s="110"/>
      <c r="BO349" s="110"/>
      <c r="BP349" s="110"/>
      <c r="BQ349" s="110"/>
      <c r="BR349" s="110"/>
      <c r="BS349" s="110"/>
      <c r="BT349" s="110"/>
      <c r="BU349" s="110"/>
      <c r="BV349" s="110"/>
      <c r="BW349" s="110"/>
      <c r="BX349" s="110"/>
      <c r="BY349" s="110"/>
      <c r="BZ349" s="110"/>
      <c r="CA349" s="110"/>
      <c r="CB349" s="110"/>
      <c r="CC349" s="110"/>
    </row>
    <row r="350" spans="1:81" ht="12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  <c r="AW350" s="110"/>
      <c r="AX350" s="110"/>
      <c r="AY350" s="110"/>
      <c r="AZ350" s="110"/>
      <c r="BA350" s="110"/>
      <c r="BB350" s="110"/>
      <c r="BC350" s="110"/>
      <c r="BD350" s="110"/>
      <c r="BE350" s="110"/>
      <c r="BF350" s="110"/>
      <c r="BG350" s="110"/>
      <c r="BH350" s="110"/>
      <c r="BI350" s="110"/>
      <c r="BJ350" s="110"/>
      <c r="BK350" s="110"/>
      <c r="BL350" s="110"/>
      <c r="BM350" s="110"/>
      <c r="BN350" s="110"/>
      <c r="BO350" s="110"/>
      <c r="BP350" s="110"/>
      <c r="BQ350" s="110"/>
      <c r="BR350" s="110"/>
      <c r="BS350" s="110"/>
      <c r="BT350" s="110"/>
      <c r="BU350" s="110"/>
      <c r="BV350" s="110"/>
      <c r="BW350" s="110"/>
      <c r="BX350" s="110"/>
      <c r="BY350" s="110"/>
      <c r="BZ350" s="110"/>
      <c r="CA350" s="110"/>
      <c r="CB350" s="110"/>
      <c r="CC350" s="110"/>
    </row>
    <row r="351" spans="1:81" ht="12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  <c r="AW351" s="110"/>
      <c r="AX351" s="110"/>
      <c r="AY351" s="110"/>
      <c r="AZ351" s="110"/>
      <c r="BA351" s="110"/>
      <c r="BB351" s="110"/>
      <c r="BC351" s="110"/>
      <c r="BD351" s="110"/>
      <c r="BE351" s="110"/>
      <c r="BF351" s="110"/>
      <c r="BG351" s="110"/>
      <c r="BH351" s="110"/>
      <c r="BI351" s="110"/>
      <c r="BJ351" s="110"/>
      <c r="BK351" s="110"/>
      <c r="BL351" s="110"/>
      <c r="BM351" s="110"/>
      <c r="BN351" s="110"/>
      <c r="BO351" s="110"/>
      <c r="BP351" s="110"/>
      <c r="BQ351" s="110"/>
      <c r="BR351" s="110"/>
      <c r="BS351" s="110"/>
      <c r="BT351" s="110"/>
      <c r="BU351" s="110"/>
      <c r="BV351" s="110"/>
      <c r="BW351" s="110"/>
      <c r="BX351" s="110"/>
      <c r="BY351" s="110"/>
      <c r="BZ351" s="110"/>
      <c r="CA351" s="110"/>
      <c r="CB351" s="110"/>
      <c r="CC351" s="110"/>
    </row>
    <row r="352" spans="1:81" ht="12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  <c r="AV352" s="110"/>
      <c r="AW352" s="110"/>
      <c r="AX352" s="110"/>
      <c r="AY352" s="110"/>
      <c r="AZ352" s="110"/>
      <c r="BA352" s="110"/>
      <c r="BB352" s="110"/>
      <c r="BC352" s="110"/>
      <c r="BD352" s="110"/>
      <c r="BE352" s="110"/>
      <c r="BF352" s="110"/>
      <c r="BG352" s="110"/>
      <c r="BH352" s="110"/>
      <c r="BI352" s="110"/>
      <c r="BJ352" s="110"/>
      <c r="BK352" s="110"/>
      <c r="BL352" s="110"/>
      <c r="BM352" s="110"/>
      <c r="BN352" s="110"/>
      <c r="BO352" s="110"/>
      <c r="BP352" s="110"/>
      <c r="BQ352" s="110"/>
      <c r="BR352" s="110"/>
      <c r="BS352" s="110"/>
      <c r="BT352" s="110"/>
      <c r="BU352" s="110"/>
      <c r="BV352" s="110"/>
      <c r="BW352" s="110"/>
      <c r="BX352" s="110"/>
      <c r="BY352" s="110"/>
      <c r="BZ352" s="110"/>
      <c r="CA352" s="110"/>
      <c r="CB352" s="110"/>
      <c r="CC352" s="110"/>
    </row>
    <row r="353" spans="1:81" ht="12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  <c r="AW353" s="110"/>
      <c r="AX353" s="110"/>
      <c r="AY353" s="110"/>
      <c r="AZ353" s="110"/>
      <c r="BA353" s="110"/>
      <c r="BB353" s="110"/>
      <c r="BC353" s="110"/>
      <c r="BD353" s="110"/>
      <c r="BE353" s="110"/>
      <c r="BF353" s="110"/>
      <c r="BG353" s="110"/>
      <c r="BH353" s="110"/>
      <c r="BI353" s="110"/>
      <c r="BJ353" s="110"/>
      <c r="BK353" s="110"/>
      <c r="BL353" s="110"/>
      <c r="BM353" s="110"/>
      <c r="BN353" s="110"/>
      <c r="BO353" s="110"/>
      <c r="BP353" s="110"/>
      <c r="BQ353" s="110"/>
      <c r="BR353" s="110"/>
      <c r="BS353" s="110"/>
      <c r="BT353" s="110"/>
      <c r="BU353" s="110"/>
      <c r="BV353" s="110"/>
      <c r="BW353" s="110"/>
      <c r="BX353" s="110"/>
      <c r="BY353" s="110"/>
      <c r="BZ353" s="110"/>
      <c r="CA353" s="110"/>
      <c r="CB353" s="110"/>
      <c r="CC353" s="110"/>
    </row>
    <row r="354" spans="1:81" ht="12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  <c r="AW354" s="110"/>
      <c r="AX354" s="110"/>
      <c r="AY354" s="110"/>
      <c r="AZ354" s="110"/>
      <c r="BA354" s="110"/>
      <c r="BB354" s="110"/>
      <c r="BC354" s="110"/>
      <c r="BD354" s="110"/>
      <c r="BE354" s="110"/>
      <c r="BF354" s="110"/>
      <c r="BG354" s="110"/>
      <c r="BH354" s="110"/>
      <c r="BI354" s="110"/>
      <c r="BJ354" s="110"/>
      <c r="BK354" s="110"/>
      <c r="BL354" s="110"/>
      <c r="BM354" s="110"/>
      <c r="BN354" s="110"/>
      <c r="BO354" s="110"/>
      <c r="BP354" s="110"/>
      <c r="BQ354" s="110"/>
      <c r="BR354" s="110"/>
      <c r="BS354" s="110"/>
      <c r="BT354" s="110"/>
      <c r="BU354" s="110"/>
      <c r="BV354" s="110"/>
      <c r="BW354" s="110"/>
      <c r="BX354" s="110"/>
      <c r="BY354" s="110"/>
      <c r="BZ354" s="110"/>
      <c r="CA354" s="110"/>
      <c r="CB354" s="110"/>
      <c r="CC354" s="110"/>
    </row>
    <row r="355" spans="1:81" ht="12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  <c r="AW355" s="110"/>
      <c r="AX355" s="110"/>
      <c r="AY355" s="110"/>
      <c r="AZ355" s="110"/>
      <c r="BA355" s="110"/>
      <c r="BB355" s="110"/>
      <c r="BC355" s="110"/>
      <c r="BD355" s="110"/>
      <c r="BE355" s="110"/>
      <c r="BF355" s="110"/>
      <c r="BG355" s="110"/>
      <c r="BH355" s="110"/>
      <c r="BI355" s="110"/>
      <c r="BJ355" s="110"/>
      <c r="BK355" s="110"/>
      <c r="BL355" s="110"/>
      <c r="BM355" s="110"/>
      <c r="BN355" s="110"/>
      <c r="BO355" s="110"/>
      <c r="BP355" s="110"/>
      <c r="BQ355" s="110"/>
      <c r="BR355" s="110"/>
      <c r="BS355" s="110"/>
      <c r="BT355" s="110"/>
      <c r="BU355" s="110"/>
      <c r="BV355" s="110"/>
      <c r="BW355" s="110"/>
      <c r="BX355" s="110"/>
      <c r="BY355" s="110"/>
      <c r="BZ355" s="110"/>
      <c r="CA355" s="110"/>
      <c r="CB355" s="110"/>
      <c r="CC355" s="110"/>
    </row>
    <row r="356" spans="1:81" ht="12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  <c r="AV356" s="110"/>
      <c r="AW356" s="110"/>
      <c r="AX356" s="110"/>
      <c r="AY356" s="110"/>
      <c r="AZ356" s="110"/>
      <c r="BA356" s="110"/>
      <c r="BB356" s="110"/>
      <c r="BC356" s="110"/>
      <c r="BD356" s="110"/>
      <c r="BE356" s="110"/>
      <c r="BF356" s="110"/>
      <c r="BG356" s="110"/>
      <c r="BH356" s="110"/>
      <c r="BI356" s="110"/>
      <c r="BJ356" s="110"/>
      <c r="BK356" s="110"/>
      <c r="BL356" s="110"/>
      <c r="BM356" s="110"/>
      <c r="BN356" s="110"/>
      <c r="BO356" s="110"/>
      <c r="BP356" s="110"/>
      <c r="BQ356" s="110"/>
      <c r="BR356" s="110"/>
      <c r="BS356" s="110"/>
      <c r="BT356" s="110"/>
      <c r="BU356" s="110"/>
      <c r="BV356" s="110"/>
      <c r="BW356" s="110"/>
      <c r="BX356" s="110"/>
      <c r="BY356" s="110"/>
      <c r="BZ356" s="110"/>
      <c r="CA356" s="110"/>
      <c r="CB356" s="110"/>
      <c r="CC356" s="110"/>
    </row>
    <row r="357" spans="1:81" ht="12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  <c r="AV357" s="110"/>
      <c r="AW357" s="110"/>
      <c r="AX357" s="110"/>
      <c r="AY357" s="110"/>
      <c r="AZ357" s="110"/>
      <c r="BA357" s="110"/>
      <c r="BB357" s="110"/>
      <c r="BC357" s="110"/>
      <c r="BD357" s="110"/>
      <c r="BE357" s="110"/>
      <c r="BF357" s="110"/>
      <c r="BG357" s="110"/>
      <c r="BH357" s="110"/>
      <c r="BI357" s="110"/>
      <c r="BJ357" s="110"/>
      <c r="BK357" s="110"/>
      <c r="BL357" s="110"/>
      <c r="BM357" s="110"/>
      <c r="BN357" s="110"/>
      <c r="BO357" s="110"/>
      <c r="BP357" s="110"/>
      <c r="BQ357" s="110"/>
      <c r="BR357" s="110"/>
      <c r="BS357" s="110"/>
      <c r="BT357" s="110"/>
      <c r="BU357" s="110"/>
      <c r="BV357" s="110"/>
      <c r="BW357" s="110"/>
      <c r="BX357" s="110"/>
      <c r="BY357" s="110"/>
      <c r="BZ357" s="110"/>
      <c r="CA357" s="110"/>
      <c r="CB357" s="110"/>
      <c r="CC357" s="110"/>
    </row>
    <row r="358" spans="1:81" ht="12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  <c r="AV358" s="110"/>
      <c r="AW358" s="110"/>
      <c r="AX358" s="110"/>
      <c r="AY358" s="110"/>
      <c r="AZ358" s="110"/>
      <c r="BA358" s="110"/>
      <c r="BB358" s="110"/>
      <c r="BC358" s="110"/>
      <c r="BD358" s="110"/>
      <c r="BE358" s="110"/>
      <c r="BF358" s="110"/>
      <c r="BG358" s="110"/>
      <c r="BH358" s="110"/>
      <c r="BI358" s="110"/>
      <c r="BJ358" s="110"/>
      <c r="BK358" s="110"/>
      <c r="BL358" s="110"/>
      <c r="BM358" s="110"/>
      <c r="BN358" s="110"/>
      <c r="BO358" s="110"/>
      <c r="BP358" s="110"/>
      <c r="BQ358" s="110"/>
      <c r="BR358" s="110"/>
      <c r="BS358" s="110"/>
      <c r="BT358" s="110"/>
      <c r="BU358" s="110"/>
      <c r="BV358" s="110"/>
      <c r="BW358" s="110"/>
      <c r="BX358" s="110"/>
      <c r="BY358" s="110"/>
      <c r="BZ358" s="110"/>
      <c r="CA358" s="110"/>
      <c r="CB358" s="110"/>
      <c r="CC358" s="110"/>
    </row>
    <row r="359" spans="1:81" ht="12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  <c r="AV359" s="110"/>
      <c r="AW359" s="110"/>
      <c r="AX359" s="110"/>
      <c r="AY359" s="110"/>
      <c r="AZ359" s="110"/>
      <c r="BA359" s="110"/>
      <c r="BB359" s="110"/>
      <c r="BC359" s="110"/>
      <c r="BD359" s="110"/>
      <c r="BE359" s="110"/>
      <c r="BF359" s="110"/>
      <c r="BG359" s="110"/>
      <c r="BH359" s="110"/>
      <c r="BI359" s="110"/>
      <c r="BJ359" s="110"/>
      <c r="BK359" s="110"/>
      <c r="BL359" s="110"/>
      <c r="BM359" s="110"/>
      <c r="BN359" s="110"/>
      <c r="BO359" s="110"/>
      <c r="BP359" s="110"/>
      <c r="BQ359" s="110"/>
      <c r="BR359" s="110"/>
      <c r="BS359" s="110"/>
      <c r="BT359" s="110"/>
      <c r="BU359" s="110"/>
      <c r="BV359" s="110"/>
      <c r="BW359" s="110"/>
      <c r="BX359" s="110"/>
      <c r="BY359" s="110"/>
      <c r="BZ359" s="110"/>
      <c r="CA359" s="110"/>
      <c r="CB359" s="110"/>
      <c r="CC359" s="110"/>
    </row>
    <row r="360" spans="1:81" ht="12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  <c r="AV360" s="110"/>
      <c r="AW360" s="110"/>
      <c r="AX360" s="110"/>
      <c r="AY360" s="110"/>
      <c r="AZ360" s="110"/>
      <c r="BA360" s="110"/>
      <c r="BB360" s="110"/>
      <c r="BC360" s="110"/>
      <c r="BD360" s="110"/>
      <c r="BE360" s="110"/>
      <c r="BF360" s="110"/>
      <c r="BG360" s="110"/>
      <c r="BH360" s="110"/>
      <c r="BI360" s="110"/>
      <c r="BJ360" s="110"/>
      <c r="BK360" s="110"/>
      <c r="BL360" s="110"/>
      <c r="BM360" s="110"/>
      <c r="BN360" s="110"/>
      <c r="BO360" s="110"/>
      <c r="BP360" s="110"/>
      <c r="BQ360" s="110"/>
      <c r="BR360" s="110"/>
      <c r="BS360" s="110"/>
      <c r="BT360" s="110"/>
      <c r="BU360" s="110"/>
      <c r="BV360" s="110"/>
      <c r="BW360" s="110"/>
      <c r="BX360" s="110"/>
      <c r="BY360" s="110"/>
      <c r="BZ360" s="110"/>
      <c r="CA360" s="110"/>
      <c r="CB360" s="110"/>
      <c r="CC360" s="110"/>
    </row>
    <row r="361" spans="1:81" ht="12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  <c r="AV361" s="110"/>
      <c r="AW361" s="110"/>
      <c r="AX361" s="110"/>
      <c r="AY361" s="110"/>
      <c r="AZ361" s="110"/>
      <c r="BA361" s="110"/>
      <c r="BB361" s="110"/>
      <c r="BC361" s="110"/>
      <c r="BD361" s="110"/>
      <c r="BE361" s="110"/>
      <c r="BF361" s="110"/>
      <c r="BG361" s="110"/>
      <c r="BH361" s="110"/>
      <c r="BI361" s="110"/>
      <c r="BJ361" s="110"/>
      <c r="BK361" s="110"/>
      <c r="BL361" s="110"/>
      <c r="BM361" s="110"/>
      <c r="BN361" s="110"/>
      <c r="BO361" s="110"/>
      <c r="BP361" s="110"/>
      <c r="BQ361" s="110"/>
      <c r="BR361" s="110"/>
      <c r="BS361" s="110"/>
      <c r="BT361" s="110"/>
      <c r="BU361" s="110"/>
      <c r="BV361" s="110"/>
      <c r="BW361" s="110"/>
      <c r="BX361" s="110"/>
      <c r="BY361" s="110"/>
      <c r="BZ361" s="110"/>
      <c r="CA361" s="110"/>
      <c r="CB361" s="110"/>
      <c r="CC361" s="110"/>
    </row>
    <row r="362" spans="1:81" ht="12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  <c r="AW362" s="110"/>
      <c r="AX362" s="110"/>
      <c r="AY362" s="110"/>
      <c r="AZ362" s="110"/>
      <c r="BA362" s="110"/>
      <c r="BB362" s="110"/>
      <c r="BC362" s="110"/>
      <c r="BD362" s="110"/>
      <c r="BE362" s="110"/>
      <c r="BF362" s="110"/>
      <c r="BG362" s="110"/>
      <c r="BH362" s="110"/>
      <c r="BI362" s="110"/>
      <c r="BJ362" s="110"/>
      <c r="BK362" s="110"/>
      <c r="BL362" s="110"/>
      <c r="BM362" s="110"/>
      <c r="BN362" s="110"/>
      <c r="BO362" s="110"/>
      <c r="BP362" s="110"/>
      <c r="BQ362" s="110"/>
      <c r="BR362" s="110"/>
      <c r="BS362" s="110"/>
      <c r="BT362" s="110"/>
      <c r="BU362" s="110"/>
      <c r="BV362" s="110"/>
      <c r="BW362" s="110"/>
      <c r="BX362" s="110"/>
      <c r="BY362" s="110"/>
      <c r="BZ362" s="110"/>
      <c r="CA362" s="110"/>
      <c r="CB362" s="110"/>
      <c r="CC362" s="110"/>
    </row>
    <row r="363" spans="1:81" ht="12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  <c r="AV363" s="110"/>
      <c r="AW363" s="110"/>
      <c r="AX363" s="110"/>
      <c r="AY363" s="110"/>
      <c r="AZ363" s="110"/>
      <c r="BA363" s="110"/>
      <c r="BB363" s="110"/>
      <c r="BC363" s="110"/>
      <c r="BD363" s="110"/>
      <c r="BE363" s="110"/>
      <c r="BF363" s="110"/>
      <c r="BG363" s="110"/>
      <c r="BH363" s="110"/>
      <c r="BI363" s="110"/>
      <c r="BJ363" s="110"/>
      <c r="BK363" s="110"/>
      <c r="BL363" s="110"/>
      <c r="BM363" s="110"/>
      <c r="BN363" s="110"/>
      <c r="BO363" s="110"/>
      <c r="BP363" s="110"/>
      <c r="BQ363" s="110"/>
      <c r="BR363" s="110"/>
      <c r="BS363" s="110"/>
      <c r="BT363" s="110"/>
      <c r="BU363" s="110"/>
      <c r="BV363" s="110"/>
      <c r="BW363" s="110"/>
      <c r="BX363" s="110"/>
      <c r="BY363" s="110"/>
      <c r="BZ363" s="110"/>
      <c r="CA363" s="110"/>
      <c r="CB363" s="110"/>
      <c r="CC363" s="110"/>
    </row>
    <row r="364" spans="1:81" ht="12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  <c r="AV364" s="110"/>
      <c r="AW364" s="110"/>
      <c r="AX364" s="110"/>
      <c r="AY364" s="110"/>
      <c r="AZ364" s="110"/>
      <c r="BA364" s="110"/>
      <c r="BB364" s="110"/>
      <c r="BC364" s="110"/>
      <c r="BD364" s="110"/>
      <c r="BE364" s="110"/>
      <c r="BF364" s="110"/>
      <c r="BG364" s="110"/>
      <c r="BH364" s="110"/>
      <c r="BI364" s="110"/>
      <c r="BJ364" s="110"/>
      <c r="BK364" s="110"/>
      <c r="BL364" s="110"/>
      <c r="BM364" s="110"/>
      <c r="BN364" s="110"/>
      <c r="BO364" s="110"/>
      <c r="BP364" s="110"/>
      <c r="BQ364" s="110"/>
      <c r="BR364" s="110"/>
      <c r="BS364" s="110"/>
      <c r="BT364" s="110"/>
      <c r="BU364" s="110"/>
      <c r="BV364" s="110"/>
      <c r="BW364" s="110"/>
      <c r="BX364" s="110"/>
      <c r="BY364" s="110"/>
      <c r="BZ364" s="110"/>
      <c r="CA364" s="110"/>
      <c r="CB364" s="110"/>
      <c r="CC364" s="110"/>
    </row>
    <row r="365" spans="1:81" ht="12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  <c r="AW365" s="110"/>
      <c r="AX365" s="110"/>
      <c r="AY365" s="110"/>
      <c r="AZ365" s="110"/>
      <c r="BA365" s="110"/>
      <c r="BB365" s="110"/>
      <c r="BC365" s="110"/>
      <c r="BD365" s="110"/>
      <c r="BE365" s="110"/>
      <c r="BF365" s="110"/>
      <c r="BG365" s="110"/>
      <c r="BH365" s="110"/>
      <c r="BI365" s="110"/>
      <c r="BJ365" s="110"/>
      <c r="BK365" s="110"/>
      <c r="BL365" s="110"/>
      <c r="BM365" s="110"/>
      <c r="BN365" s="110"/>
      <c r="BO365" s="110"/>
      <c r="BP365" s="110"/>
      <c r="BQ365" s="110"/>
      <c r="BR365" s="110"/>
      <c r="BS365" s="110"/>
      <c r="BT365" s="110"/>
      <c r="BU365" s="110"/>
      <c r="BV365" s="110"/>
      <c r="BW365" s="110"/>
      <c r="BX365" s="110"/>
      <c r="BY365" s="110"/>
      <c r="BZ365" s="110"/>
      <c r="CA365" s="110"/>
      <c r="CB365" s="110"/>
      <c r="CC365" s="110"/>
    </row>
    <row r="366" spans="1:81" ht="12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  <c r="AV366" s="110"/>
      <c r="AW366" s="110"/>
      <c r="AX366" s="110"/>
      <c r="AY366" s="110"/>
      <c r="AZ366" s="110"/>
      <c r="BA366" s="110"/>
      <c r="BB366" s="110"/>
      <c r="BC366" s="110"/>
      <c r="BD366" s="110"/>
      <c r="BE366" s="110"/>
      <c r="BF366" s="110"/>
      <c r="BG366" s="110"/>
      <c r="BH366" s="110"/>
      <c r="BI366" s="110"/>
      <c r="BJ366" s="110"/>
      <c r="BK366" s="110"/>
      <c r="BL366" s="110"/>
      <c r="BM366" s="110"/>
      <c r="BN366" s="110"/>
      <c r="BO366" s="110"/>
      <c r="BP366" s="110"/>
      <c r="BQ366" s="110"/>
      <c r="BR366" s="110"/>
      <c r="BS366" s="110"/>
      <c r="BT366" s="110"/>
      <c r="BU366" s="110"/>
      <c r="BV366" s="110"/>
      <c r="BW366" s="110"/>
      <c r="BX366" s="110"/>
      <c r="BY366" s="110"/>
      <c r="BZ366" s="110"/>
      <c r="CA366" s="110"/>
      <c r="CB366" s="110"/>
      <c r="CC366" s="110"/>
    </row>
    <row r="367" spans="1:81" ht="12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  <c r="AV367" s="110"/>
      <c r="AW367" s="110"/>
      <c r="AX367" s="110"/>
      <c r="AY367" s="110"/>
      <c r="AZ367" s="110"/>
      <c r="BA367" s="110"/>
      <c r="BB367" s="110"/>
      <c r="BC367" s="110"/>
      <c r="BD367" s="110"/>
      <c r="BE367" s="110"/>
      <c r="BF367" s="110"/>
      <c r="BG367" s="110"/>
      <c r="BH367" s="110"/>
      <c r="BI367" s="110"/>
      <c r="BJ367" s="110"/>
      <c r="BK367" s="110"/>
      <c r="BL367" s="110"/>
      <c r="BM367" s="110"/>
      <c r="BN367" s="110"/>
      <c r="BO367" s="110"/>
      <c r="BP367" s="110"/>
      <c r="BQ367" s="110"/>
      <c r="BR367" s="110"/>
      <c r="BS367" s="110"/>
      <c r="BT367" s="110"/>
      <c r="BU367" s="110"/>
      <c r="BV367" s="110"/>
      <c r="BW367" s="110"/>
      <c r="BX367" s="110"/>
      <c r="BY367" s="110"/>
      <c r="BZ367" s="110"/>
      <c r="CA367" s="110"/>
      <c r="CB367" s="110"/>
      <c r="CC367" s="110"/>
    </row>
    <row r="368" spans="1:81" ht="12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  <c r="AV368" s="110"/>
      <c r="AW368" s="110"/>
      <c r="AX368" s="110"/>
      <c r="AY368" s="110"/>
      <c r="AZ368" s="110"/>
      <c r="BA368" s="110"/>
      <c r="BB368" s="110"/>
      <c r="BC368" s="110"/>
      <c r="BD368" s="110"/>
      <c r="BE368" s="110"/>
      <c r="BF368" s="110"/>
      <c r="BG368" s="110"/>
      <c r="BH368" s="110"/>
      <c r="BI368" s="110"/>
      <c r="BJ368" s="110"/>
      <c r="BK368" s="110"/>
      <c r="BL368" s="110"/>
      <c r="BM368" s="110"/>
      <c r="BN368" s="110"/>
      <c r="BO368" s="110"/>
      <c r="BP368" s="110"/>
      <c r="BQ368" s="110"/>
      <c r="BR368" s="110"/>
      <c r="BS368" s="110"/>
      <c r="BT368" s="110"/>
      <c r="BU368" s="110"/>
      <c r="BV368" s="110"/>
      <c r="BW368" s="110"/>
      <c r="BX368" s="110"/>
      <c r="BY368" s="110"/>
      <c r="BZ368" s="110"/>
      <c r="CA368" s="110"/>
      <c r="CB368" s="110"/>
      <c r="CC368" s="110"/>
    </row>
    <row r="369" spans="1:81" ht="12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  <c r="AV369" s="110"/>
      <c r="AW369" s="110"/>
      <c r="AX369" s="110"/>
      <c r="AY369" s="110"/>
      <c r="AZ369" s="110"/>
      <c r="BA369" s="110"/>
      <c r="BB369" s="110"/>
      <c r="BC369" s="110"/>
      <c r="BD369" s="110"/>
      <c r="BE369" s="110"/>
      <c r="BF369" s="110"/>
      <c r="BG369" s="110"/>
      <c r="BH369" s="110"/>
      <c r="BI369" s="110"/>
      <c r="BJ369" s="110"/>
      <c r="BK369" s="110"/>
      <c r="BL369" s="110"/>
      <c r="BM369" s="110"/>
      <c r="BN369" s="110"/>
      <c r="BO369" s="110"/>
      <c r="BP369" s="110"/>
      <c r="BQ369" s="110"/>
      <c r="BR369" s="110"/>
      <c r="BS369" s="110"/>
      <c r="BT369" s="110"/>
      <c r="BU369" s="110"/>
      <c r="BV369" s="110"/>
      <c r="BW369" s="110"/>
      <c r="BX369" s="110"/>
      <c r="BY369" s="110"/>
      <c r="BZ369" s="110"/>
      <c r="CA369" s="110"/>
      <c r="CB369" s="110"/>
      <c r="CC369" s="110"/>
    </row>
    <row r="370" spans="1:81" ht="12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  <c r="AV370" s="110"/>
      <c r="AW370" s="110"/>
      <c r="AX370" s="110"/>
      <c r="AY370" s="110"/>
      <c r="AZ370" s="110"/>
      <c r="BA370" s="110"/>
      <c r="BB370" s="110"/>
      <c r="BC370" s="110"/>
      <c r="BD370" s="110"/>
      <c r="BE370" s="110"/>
      <c r="BF370" s="110"/>
      <c r="BG370" s="110"/>
      <c r="BH370" s="110"/>
      <c r="BI370" s="110"/>
      <c r="BJ370" s="110"/>
      <c r="BK370" s="110"/>
      <c r="BL370" s="110"/>
      <c r="BM370" s="110"/>
      <c r="BN370" s="110"/>
      <c r="BO370" s="110"/>
      <c r="BP370" s="110"/>
      <c r="BQ370" s="110"/>
      <c r="BR370" s="110"/>
      <c r="BS370" s="110"/>
      <c r="BT370" s="110"/>
      <c r="BU370" s="110"/>
      <c r="BV370" s="110"/>
      <c r="BW370" s="110"/>
      <c r="BX370" s="110"/>
      <c r="BY370" s="110"/>
      <c r="BZ370" s="110"/>
      <c r="CA370" s="110"/>
      <c r="CB370" s="110"/>
      <c r="CC370" s="110"/>
    </row>
    <row r="371" spans="1:81" ht="12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  <c r="AV371" s="110"/>
      <c r="AW371" s="110"/>
      <c r="AX371" s="110"/>
      <c r="AY371" s="110"/>
      <c r="AZ371" s="110"/>
      <c r="BA371" s="110"/>
      <c r="BB371" s="110"/>
      <c r="BC371" s="110"/>
      <c r="BD371" s="110"/>
      <c r="BE371" s="110"/>
      <c r="BF371" s="110"/>
      <c r="BG371" s="110"/>
      <c r="BH371" s="110"/>
      <c r="BI371" s="110"/>
      <c r="BJ371" s="110"/>
      <c r="BK371" s="110"/>
      <c r="BL371" s="110"/>
      <c r="BM371" s="110"/>
      <c r="BN371" s="110"/>
      <c r="BO371" s="110"/>
      <c r="BP371" s="110"/>
      <c r="BQ371" s="110"/>
      <c r="BR371" s="110"/>
      <c r="BS371" s="110"/>
      <c r="BT371" s="110"/>
      <c r="BU371" s="110"/>
      <c r="BV371" s="110"/>
      <c r="BW371" s="110"/>
      <c r="BX371" s="110"/>
      <c r="BY371" s="110"/>
      <c r="BZ371" s="110"/>
      <c r="CA371" s="110"/>
      <c r="CB371" s="110"/>
      <c r="CC371" s="110"/>
    </row>
    <row r="372" spans="1:81" ht="12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  <c r="AV372" s="110"/>
      <c r="AW372" s="110"/>
      <c r="AX372" s="110"/>
      <c r="AY372" s="110"/>
      <c r="AZ372" s="110"/>
      <c r="BA372" s="110"/>
      <c r="BB372" s="110"/>
      <c r="BC372" s="110"/>
      <c r="BD372" s="110"/>
      <c r="BE372" s="110"/>
      <c r="BF372" s="110"/>
      <c r="BG372" s="110"/>
      <c r="BH372" s="110"/>
      <c r="BI372" s="110"/>
      <c r="BJ372" s="110"/>
      <c r="BK372" s="110"/>
      <c r="BL372" s="110"/>
      <c r="BM372" s="110"/>
      <c r="BN372" s="110"/>
      <c r="BO372" s="110"/>
      <c r="BP372" s="110"/>
      <c r="BQ372" s="110"/>
      <c r="BR372" s="110"/>
      <c r="BS372" s="110"/>
      <c r="BT372" s="110"/>
      <c r="BU372" s="110"/>
      <c r="BV372" s="110"/>
      <c r="BW372" s="110"/>
      <c r="BX372" s="110"/>
      <c r="BY372" s="110"/>
      <c r="BZ372" s="110"/>
      <c r="CA372" s="110"/>
      <c r="CB372" s="110"/>
      <c r="CC372" s="110"/>
    </row>
    <row r="373" spans="1:81" ht="12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  <c r="AV373" s="110"/>
      <c r="AW373" s="110"/>
      <c r="AX373" s="110"/>
      <c r="AY373" s="110"/>
      <c r="AZ373" s="110"/>
      <c r="BA373" s="110"/>
      <c r="BB373" s="110"/>
      <c r="BC373" s="110"/>
      <c r="BD373" s="110"/>
      <c r="BE373" s="110"/>
      <c r="BF373" s="110"/>
      <c r="BG373" s="110"/>
      <c r="BH373" s="110"/>
      <c r="BI373" s="110"/>
      <c r="BJ373" s="110"/>
      <c r="BK373" s="110"/>
      <c r="BL373" s="110"/>
      <c r="BM373" s="110"/>
      <c r="BN373" s="110"/>
      <c r="BO373" s="110"/>
      <c r="BP373" s="110"/>
      <c r="BQ373" s="110"/>
      <c r="BR373" s="110"/>
      <c r="BS373" s="110"/>
      <c r="BT373" s="110"/>
      <c r="BU373" s="110"/>
      <c r="BV373" s="110"/>
      <c r="BW373" s="110"/>
      <c r="BX373" s="110"/>
      <c r="BY373" s="110"/>
      <c r="BZ373" s="110"/>
      <c r="CA373" s="110"/>
      <c r="CB373" s="110"/>
      <c r="CC373" s="110"/>
    </row>
    <row r="374" spans="1:81" ht="12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  <c r="AV374" s="110"/>
      <c r="AW374" s="110"/>
      <c r="AX374" s="110"/>
      <c r="AY374" s="110"/>
      <c r="AZ374" s="110"/>
      <c r="BA374" s="110"/>
      <c r="BB374" s="110"/>
      <c r="BC374" s="110"/>
      <c r="BD374" s="110"/>
      <c r="BE374" s="110"/>
      <c r="BF374" s="110"/>
      <c r="BG374" s="110"/>
      <c r="BH374" s="110"/>
      <c r="BI374" s="110"/>
      <c r="BJ374" s="110"/>
      <c r="BK374" s="110"/>
      <c r="BL374" s="110"/>
      <c r="BM374" s="110"/>
      <c r="BN374" s="110"/>
      <c r="BO374" s="110"/>
      <c r="BP374" s="110"/>
      <c r="BQ374" s="110"/>
      <c r="BR374" s="110"/>
      <c r="BS374" s="110"/>
      <c r="BT374" s="110"/>
      <c r="BU374" s="110"/>
      <c r="BV374" s="110"/>
      <c r="BW374" s="110"/>
      <c r="BX374" s="110"/>
      <c r="BY374" s="110"/>
      <c r="BZ374" s="110"/>
      <c r="CA374" s="110"/>
      <c r="CB374" s="110"/>
      <c r="CC374" s="110"/>
    </row>
    <row r="375" spans="1:81" ht="12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  <c r="AV375" s="110"/>
      <c r="AW375" s="110"/>
      <c r="AX375" s="110"/>
      <c r="AY375" s="110"/>
      <c r="AZ375" s="110"/>
      <c r="BA375" s="110"/>
      <c r="BB375" s="110"/>
      <c r="BC375" s="110"/>
      <c r="BD375" s="110"/>
      <c r="BE375" s="110"/>
      <c r="BF375" s="110"/>
      <c r="BG375" s="110"/>
      <c r="BH375" s="110"/>
      <c r="BI375" s="110"/>
      <c r="BJ375" s="110"/>
      <c r="BK375" s="110"/>
      <c r="BL375" s="110"/>
      <c r="BM375" s="110"/>
      <c r="BN375" s="110"/>
      <c r="BO375" s="110"/>
      <c r="BP375" s="110"/>
      <c r="BQ375" s="110"/>
      <c r="BR375" s="110"/>
      <c r="BS375" s="110"/>
      <c r="BT375" s="110"/>
      <c r="BU375" s="110"/>
      <c r="BV375" s="110"/>
      <c r="BW375" s="110"/>
      <c r="BX375" s="110"/>
      <c r="BY375" s="110"/>
      <c r="BZ375" s="110"/>
      <c r="CA375" s="110"/>
      <c r="CB375" s="110"/>
      <c r="CC375" s="110"/>
    </row>
    <row r="376" spans="1:81" ht="12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  <c r="AV376" s="110"/>
      <c r="AW376" s="110"/>
      <c r="AX376" s="110"/>
      <c r="AY376" s="110"/>
      <c r="AZ376" s="110"/>
      <c r="BA376" s="110"/>
      <c r="BB376" s="110"/>
      <c r="BC376" s="110"/>
      <c r="BD376" s="110"/>
      <c r="BE376" s="110"/>
      <c r="BF376" s="110"/>
      <c r="BG376" s="110"/>
      <c r="BH376" s="110"/>
      <c r="BI376" s="110"/>
      <c r="BJ376" s="110"/>
      <c r="BK376" s="110"/>
      <c r="BL376" s="110"/>
      <c r="BM376" s="110"/>
      <c r="BN376" s="110"/>
      <c r="BO376" s="110"/>
      <c r="BP376" s="110"/>
      <c r="BQ376" s="110"/>
      <c r="BR376" s="110"/>
      <c r="BS376" s="110"/>
      <c r="BT376" s="110"/>
      <c r="BU376" s="110"/>
      <c r="BV376" s="110"/>
      <c r="BW376" s="110"/>
      <c r="BX376" s="110"/>
      <c r="BY376" s="110"/>
      <c r="BZ376" s="110"/>
      <c r="CA376" s="110"/>
      <c r="CB376" s="110"/>
      <c r="CC376" s="110"/>
    </row>
    <row r="377" spans="1:81" ht="12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  <c r="AV377" s="110"/>
      <c r="AW377" s="110"/>
      <c r="AX377" s="110"/>
      <c r="AY377" s="110"/>
      <c r="AZ377" s="110"/>
      <c r="BA377" s="110"/>
      <c r="BB377" s="110"/>
      <c r="BC377" s="110"/>
      <c r="BD377" s="110"/>
      <c r="BE377" s="110"/>
      <c r="BF377" s="110"/>
      <c r="BG377" s="110"/>
      <c r="BH377" s="110"/>
      <c r="BI377" s="110"/>
      <c r="BJ377" s="110"/>
      <c r="BK377" s="110"/>
      <c r="BL377" s="110"/>
      <c r="BM377" s="110"/>
      <c r="BN377" s="110"/>
      <c r="BO377" s="110"/>
      <c r="BP377" s="110"/>
      <c r="BQ377" s="110"/>
      <c r="BR377" s="110"/>
      <c r="BS377" s="110"/>
      <c r="BT377" s="110"/>
      <c r="BU377" s="110"/>
      <c r="BV377" s="110"/>
      <c r="BW377" s="110"/>
      <c r="BX377" s="110"/>
      <c r="BY377" s="110"/>
      <c r="BZ377" s="110"/>
      <c r="CA377" s="110"/>
      <c r="CB377" s="110"/>
      <c r="CC377" s="110"/>
    </row>
    <row r="378" spans="1:81" ht="12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  <c r="AV378" s="110"/>
      <c r="AW378" s="110"/>
      <c r="AX378" s="110"/>
      <c r="AY378" s="110"/>
      <c r="AZ378" s="110"/>
      <c r="BA378" s="110"/>
      <c r="BB378" s="110"/>
      <c r="BC378" s="110"/>
      <c r="BD378" s="110"/>
      <c r="BE378" s="110"/>
      <c r="BF378" s="110"/>
      <c r="BG378" s="110"/>
      <c r="BH378" s="110"/>
      <c r="BI378" s="110"/>
      <c r="BJ378" s="110"/>
      <c r="BK378" s="110"/>
      <c r="BL378" s="110"/>
      <c r="BM378" s="110"/>
      <c r="BN378" s="110"/>
      <c r="BO378" s="110"/>
      <c r="BP378" s="110"/>
      <c r="BQ378" s="110"/>
      <c r="BR378" s="110"/>
      <c r="BS378" s="110"/>
      <c r="BT378" s="110"/>
      <c r="BU378" s="110"/>
      <c r="BV378" s="110"/>
      <c r="BW378" s="110"/>
      <c r="BX378" s="110"/>
      <c r="BY378" s="110"/>
      <c r="BZ378" s="110"/>
      <c r="CA378" s="110"/>
      <c r="CB378" s="110"/>
      <c r="CC378" s="110"/>
    </row>
    <row r="379" spans="1:81" ht="12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  <c r="AV379" s="110"/>
      <c r="AW379" s="110"/>
      <c r="AX379" s="110"/>
      <c r="AY379" s="110"/>
      <c r="AZ379" s="110"/>
      <c r="BA379" s="110"/>
      <c r="BB379" s="110"/>
      <c r="BC379" s="110"/>
      <c r="BD379" s="110"/>
      <c r="BE379" s="110"/>
      <c r="BF379" s="110"/>
      <c r="BG379" s="110"/>
      <c r="BH379" s="110"/>
      <c r="BI379" s="110"/>
      <c r="BJ379" s="110"/>
      <c r="BK379" s="110"/>
      <c r="BL379" s="110"/>
      <c r="BM379" s="110"/>
      <c r="BN379" s="110"/>
      <c r="BO379" s="110"/>
      <c r="BP379" s="110"/>
      <c r="BQ379" s="110"/>
      <c r="BR379" s="110"/>
      <c r="BS379" s="110"/>
      <c r="BT379" s="110"/>
      <c r="BU379" s="110"/>
      <c r="BV379" s="110"/>
      <c r="BW379" s="110"/>
      <c r="BX379" s="110"/>
      <c r="BY379" s="110"/>
      <c r="BZ379" s="110"/>
      <c r="CA379" s="110"/>
      <c r="CB379" s="110"/>
      <c r="CC379" s="110"/>
    </row>
    <row r="380" spans="1:81" ht="12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  <c r="AV380" s="110"/>
      <c r="AW380" s="110"/>
      <c r="AX380" s="110"/>
      <c r="AY380" s="110"/>
      <c r="AZ380" s="110"/>
      <c r="BA380" s="110"/>
      <c r="BB380" s="110"/>
      <c r="BC380" s="110"/>
      <c r="BD380" s="110"/>
      <c r="BE380" s="110"/>
      <c r="BF380" s="110"/>
      <c r="BG380" s="110"/>
      <c r="BH380" s="110"/>
      <c r="BI380" s="110"/>
      <c r="BJ380" s="110"/>
      <c r="BK380" s="110"/>
      <c r="BL380" s="110"/>
      <c r="BM380" s="110"/>
      <c r="BN380" s="110"/>
      <c r="BO380" s="110"/>
      <c r="BP380" s="110"/>
      <c r="BQ380" s="110"/>
      <c r="BR380" s="110"/>
      <c r="BS380" s="110"/>
      <c r="BT380" s="110"/>
      <c r="BU380" s="110"/>
      <c r="BV380" s="110"/>
      <c r="BW380" s="110"/>
      <c r="BX380" s="110"/>
      <c r="BY380" s="110"/>
      <c r="BZ380" s="110"/>
      <c r="CA380" s="110"/>
      <c r="CB380" s="110"/>
      <c r="CC380" s="110"/>
    </row>
    <row r="381" spans="1:81" ht="12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  <c r="AV381" s="110"/>
      <c r="AW381" s="110"/>
      <c r="AX381" s="110"/>
      <c r="AY381" s="110"/>
      <c r="AZ381" s="110"/>
      <c r="BA381" s="110"/>
      <c r="BB381" s="110"/>
      <c r="BC381" s="110"/>
      <c r="BD381" s="110"/>
      <c r="BE381" s="110"/>
      <c r="BF381" s="110"/>
      <c r="BG381" s="110"/>
      <c r="BH381" s="110"/>
      <c r="BI381" s="110"/>
      <c r="BJ381" s="110"/>
      <c r="BK381" s="110"/>
      <c r="BL381" s="110"/>
      <c r="BM381" s="110"/>
      <c r="BN381" s="110"/>
      <c r="BO381" s="110"/>
      <c r="BP381" s="110"/>
      <c r="BQ381" s="110"/>
      <c r="BR381" s="110"/>
      <c r="BS381" s="110"/>
      <c r="BT381" s="110"/>
      <c r="BU381" s="110"/>
      <c r="BV381" s="110"/>
      <c r="BW381" s="110"/>
      <c r="BX381" s="110"/>
      <c r="BY381" s="110"/>
      <c r="BZ381" s="110"/>
      <c r="CA381" s="110"/>
      <c r="CB381" s="110"/>
      <c r="CC381" s="110"/>
    </row>
    <row r="382" spans="1:81" ht="12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  <c r="AV382" s="110"/>
      <c r="AW382" s="110"/>
      <c r="AX382" s="110"/>
      <c r="AY382" s="110"/>
      <c r="AZ382" s="110"/>
      <c r="BA382" s="110"/>
      <c r="BB382" s="110"/>
      <c r="BC382" s="110"/>
      <c r="BD382" s="110"/>
      <c r="BE382" s="110"/>
      <c r="BF382" s="110"/>
      <c r="BG382" s="110"/>
      <c r="BH382" s="110"/>
      <c r="BI382" s="110"/>
      <c r="BJ382" s="110"/>
      <c r="BK382" s="110"/>
      <c r="BL382" s="110"/>
      <c r="BM382" s="110"/>
      <c r="BN382" s="110"/>
      <c r="BO382" s="110"/>
      <c r="BP382" s="110"/>
      <c r="BQ382" s="110"/>
      <c r="BR382" s="110"/>
      <c r="BS382" s="110"/>
      <c r="BT382" s="110"/>
      <c r="BU382" s="110"/>
      <c r="BV382" s="110"/>
      <c r="BW382" s="110"/>
      <c r="BX382" s="110"/>
      <c r="BY382" s="110"/>
      <c r="BZ382" s="110"/>
      <c r="CA382" s="110"/>
      <c r="CB382" s="110"/>
      <c r="CC382" s="110"/>
    </row>
    <row r="383" spans="1:81" ht="12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110"/>
      <c r="AX383" s="110"/>
      <c r="AY383" s="110"/>
      <c r="AZ383" s="110"/>
      <c r="BA383" s="110"/>
      <c r="BB383" s="110"/>
      <c r="BC383" s="110"/>
      <c r="BD383" s="110"/>
      <c r="BE383" s="110"/>
      <c r="BF383" s="110"/>
      <c r="BG383" s="110"/>
      <c r="BH383" s="110"/>
      <c r="BI383" s="110"/>
      <c r="BJ383" s="110"/>
      <c r="BK383" s="110"/>
      <c r="BL383" s="110"/>
      <c r="BM383" s="110"/>
      <c r="BN383" s="110"/>
      <c r="BO383" s="110"/>
      <c r="BP383" s="110"/>
      <c r="BQ383" s="110"/>
      <c r="BR383" s="110"/>
      <c r="BS383" s="110"/>
      <c r="BT383" s="110"/>
      <c r="BU383" s="110"/>
      <c r="BV383" s="110"/>
      <c r="BW383" s="110"/>
      <c r="BX383" s="110"/>
      <c r="BY383" s="110"/>
      <c r="BZ383" s="110"/>
      <c r="CA383" s="110"/>
      <c r="CB383" s="110"/>
      <c r="CC383" s="110"/>
    </row>
    <row r="384" spans="1:81" ht="12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  <c r="AV384" s="110"/>
      <c r="AW384" s="110"/>
      <c r="AX384" s="110"/>
      <c r="AY384" s="110"/>
      <c r="AZ384" s="110"/>
      <c r="BA384" s="110"/>
      <c r="BB384" s="110"/>
      <c r="BC384" s="110"/>
      <c r="BD384" s="110"/>
      <c r="BE384" s="110"/>
      <c r="BF384" s="110"/>
      <c r="BG384" s="110"/>
      <c r="BH384" s="110"/>
      <c r="BI384" s="110"/>
      <c r="BJ384" s="110"/>
      <c r="BK384" s="110"/>
      <c r="BL384" s="110"/>
      <c r="BM384" s="110"/>
      <c r="BN384" s="110"/>
      <c r="BO384" s="110"/>
      <c r="BP384" s="110"/>
      <c r="BQ384" s="110"/>
      <c r="BR384" s="110"/>
      <c r="BS384" s="110"/>
      <c r="BT384" s="110"/>
      <c r="BU384" s="110"/>
      <c r="BV384" s="110"/>
      <c r="BW384" s="110"/>
      <c r="BX384" s="110"/>
      <c r="BY384" s="110"/>
      <c r="BZ384" s="110"/>
      <c r="CA384" s="110"/>
      <c r="CB384" s="110"/>
      <c r="CC384" s="110"/>
    </row>
    <row r="385" spans="1:81" ht="12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  <c r="AV385" s="110"/>
      <c r="AW385" s="110"/>
      <c r="AX385" s="110"/>
      <c r="AY385" s="110"/>
      <c r="AZ385" s="110"/>
      <c r="BA385" s="110"/>
      <c r="BB385" s="110"/>
      <c r="BC385" s="110"/>
      <c r="BD385" s="110"/>
      <c r="BE385" s="110"/>
      <c r="BF385" s="110"/>
      <c r="BG385" s="110"/>
      <c r="BH385" s="110"/>
      <c r="BI385" s="110"/>
      <c r="BJ385" s="110"/>
      <c r="BK385" s="110"/>
      <c r="BL385" s="110"/>
      <c r="BM385" s="110"/>
      <c r="BN385" s="110"/>
      <c r="BO385" s="110"/>
      <c r="BP385" s="110"/>
      <c r="BQ385" s="110"/>
      <c r="BR385" s="110"/>
      <c r="BS385" s="110"/>
      <c r="BT385" s="110"/>
      <c r="BU385" s="110"/>
      <c r="BV385" s="110"/>
      <c r="BW385" s="110"/>
      <c r="BX385" s="110"/>
      <c r="BY385" s="110"/>
      <c r="BZ385" s="110"/>
      <c r="CA385" s="110"/>
      <c r="CB385" s="110"/>
      <c r="CC385" s="110"/>
    </row>
    <row r="386" spans="1:81" ht="12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  <c r="AV386" s="110"/>
      <c r="AW386" s="110"/>
      <c r="AX386" s="110"/>
      <c r="AY386" s="110"/>
      <c r="AZ386" s="110"/>
      <c r="BA386" s="110"/>
      <c r="BB386" s="110"/>
      <c r="BC386" s="110"/>
      <c r="BD386" s="110"/>
      <c r="BE386" s="110"/>
      <c r="BF386" s="110"/>
      <c r="BG386" s="110"/>
      <c r="BH386" s="110"/>
      <c r="BI386" s="110"/>
      <c r="BJ386" s="110"/>
      <c r="BK386" s="110"/>
      <c r="BL386" s="110"/>
      <c r="BM386" s="110"/>
      <c r="BN386" s="110"/>
      <c r="BO386" s="110"/>
      <c r="BP386" s="110"/>
      <c r="BQ386" s="110"/>
      <c r="BR386" s="110"/>
      <c r="BS386" s="110"/>
      <c r="BT386" s="110"/>
      <c r="BU386" s="110"/>
      <c r="BV386" s="110"/>
      <c r="BW386" s="110"/>
      <c r="BX386" s="110"/>
      <c r="BY386" s="110"/>
      <c r="BZ386" s="110"/>
      <c r="CA386" s="110"/>
      <c r="CB386" s="110"/>
      <c r="CC386" s="110"/>
    </row>
    <row r="387" spans="1:81" ht="12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  <c r="AV387" s="110"/>
      <c r="AW387" s="110"/>
      <c r="AX387" s="110"/>
      <c r="AY387" s="110"/>
      <c r="AZ387" s="110"/>
      <c r="BA387" s="110"/>
      <c r="BB387" s="110"/>
      <c r="BC387" s="110"/>
      <c r="BD387" s="110"/>
      <c r="BE387" s="110"/>
      <c r="BF387" s="110"/>
      <c r="BG387" s="110"/>
      <c r="BH387" s="110"/>
      <c r="BI387" s="110"/>
      <c r="BJ387" s="110"/>
      <c r="BK387" s="110"/>
      <c r="BL387" s="110"/>
      <c r="BM387" s="110"/>
      <c r="BN387" s="110"/>
      <c r="BO387" s="110"/>
      <c r="BP387" s="110"/>
      <c r="BQ387" s="110"/>
      <c r="BR387" s="110"/>
      <c r="BS387" s="110"/>
      <c r="BT387" s="110"/>
      <c r="BU387" s="110"/>
      <c r="BV387" s="110"/>
      <c r="BW387" s="110"/>
      <c r="BX387" s="110"/>
      <c r="BY387" s="110"/>
      <c r="BZ387" s="110"/>
      <c r="CA387" s="110"/>
      <c r="CB387" s="110"/>
      <c r="CC387" s="110"/>
    </row>
    <row r="388" spans="1:81" ht="12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  <c r="AV388" s="110"/>
      <c r="AW388" s="110"/>
      <c r="AX388" s="110"/>
      <c r="AY388" s="110"/>
      <c r="AZ388" s="110"/>
      <c r="BA388" s="110"/>
      <c r="BB388" s="110"/>
      <c r="BC388" s="110"/>
      <c r="BD388" s="110"/>
      <c r="BE388" s="110"/>
      <c r="BF388" s="110"/>
      <c r="BG388" s="110"/>
      <c r="BH388" s="110"/>
      <c r="BI388" s="110"/>
      <c r="BJ388" s="110"/>
      <c r="BK388" s="110"/>
      <c r="BL388" s="110"/>
      <c r="BM388" s="110"/>
      <c r="BN388" s="110"/>
      <c r="BO388" s="110"/>
      <c r="BP388" s="110"/>
      <c r="BQ388" s="110"/>
      <c r="BR388" s="110"/>
      <c r="BS388" s="110"/>
      <c r="BT388" s="110"/>
      <c r="BU388" s="110"/>
      <c r="BV388" s="110"/>
      <c r="BW388" s="110"/>
      <c r="BX388" s="110"/>
      <c r="BY388" s="110"/>
      <c r="BZ388" s="110"/>
      <c r="CA388" s="110"/>
      <c r="CB388" s="110"/>
      <c r="CC388" s="110"/>
    </row>
    <row r="389" spans="1:81" ht="12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  <c r="AV389" s="110"/>
      <c r="AW389" s="110"/>
      <c r="AX389" s="110"/>
      <c r="AY389" s="110"/>
      <c r="AZ389" s="110"/>
      <c r="BA389" s="110"/>
      <c r="BB389" s="110"/>
      <c r="BC389" s="110"/>
      <c r="BD389" s="110"/>
      <c r="BE389" s="110"/>
      <c r="BF389" s="110"/>
      <c r="BG389" s="110"/>
      <c r="BH389" s="110"/>
      <c r="BI389" s="110"/>
      <c r="BJ389" s="110"/>
      <c r="BK389" s="110"/>
      <c r="BL389" s="110"/>
      <c r="BM389" s="110"/>
      <c r="BN389" s="110"/>
      <c r="BO389" s="110"/>
      <c r="BP389" s="110"/>
      <c r="BQ389" s="110"/>
      <c r="BR389" s="110"/>
      <c r="BS389" s="110"/>
      <c r="BT389" s="110"/>
      <c r="BU389" s="110"/>
      <c r="BV389" s="110"/>
      <c r="BW389" s="110"/>
      <c r="BX389" s="110"/>
      <c r="BY389" s="110"/>
      <c r="BZ389" s="110"/>
      <c r="CA389" s="110"/>
      <c r="CB389" s="110"/>
      <c r="CC389" s="110"/>
    </row>
    <row r="390" spans="1:81" ht="12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  <c r="AV390" s="110"/>
      <c r="AW390" s="110"/>
      <c r="AX390" s="110"/>
      <c r="AY390" s="110"/>
      <c r="AZ390" s="110"/>
      <c r="BA390" s="110"/>
      <c r="BB390" s="110"/>
      <c r="BC390" s="110"/>
      <c r="BD390" s="110"/>
      <c r="BE390" s="110"/>
      <c r="BF390" s="110"/>
      <c r="BG390" s="110"/>
      <c r="BH390" s="110"/>
      <c r="BI390" s="110"/>
      <c r="BJ390" s="110"/>
      <c r="BK390" s="110"/>
      <c r="BL390" s="110"/>
      <c r="BM390" s="110"/>
      <c r="BN390" s="110"/>
      <c r="BO390" s="110"/>
      <c r="BP390" s="110"/>
      <c r="BQ390" s="110"/>
      <c r="BR390" s="110"/>
      <c r="BS390" s="110"/>
      <c r="BT390" s="110"/>
      <c r="BU390" s="110"/>
      <c r="BV390" s="110"/>
      <c r="BW390" s="110"/>
      <c r="BX390" s="110"/>
      <c r="BY390" s="110"/>
      <c r="BZ390" s="110"/>
      <c r="CA390" s="110"/>
      <c r="CB390" s="110"/>
      <c r="CC390" s="110"/>
    </row>
    <row r="391" spans="1:81" ht="12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  <c r="AV391" s="110"/>
      <c r="AW391" s="110"/>
      <c r="AX391" s="110"/>
      <c r="AY391" s="110"/>
      <c r="AZ391" s="110"/>
      <c r="BA391" s="110"/>
      <c r="BB391" s="110"/>
      <c r="BC391" s="110"/>
      <c r="BD391" s="110"/>
      <c r="BE391" s="110"/>
      <c r="BF391" s="110"/>
      <c r="BG391" s="110"/>
      <c r="BH391" s="110"/>
      <c r="BI391" s="110"/>
      <c r="BJ391" s="110"/>
      <c r="BK391" s="110"/>
      <c r="BL391" s="110"/>
      <c r="BM391" s="110"/>
      <c r="BN391" s="110"/>
      <c r="BO391" s="110"/>
      <c r="BP391" s="110"/>
      <c r="BQ391" s="110"/>
      <c r="BR391" s="110"/>
      <c r="BS391" s="110"/>
      <c r="BT391" s="110"/>
      <c r="BU391" s="110"/>
      <c r="BV391" s="110"/>
      <c r="BW391" s="110"/>
      <c r="BX391" s="110"/>
      <c r="BY391" s="110"/>
      <c r="BZ391" s="110"/>
      <c r="CA391" s="110"/>
      <c r="CB391" s="110"/>
      <c r="CC391" s="110"/>
    </row>
    <row r="392" spans="1:81" ht="12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  <c r="AV392" s="110"/>
      <c r="AW392" s="110"/>
      <c r="AX392" s="110"/>
      <c r="AY392" s="110"/>
      <c r="AZ392" s="110"/>
      <c r="BA392" s="110"/>
      <c r="BB392" s="110"/>
      <c r="BC392" s="110"/>
      <c r="BD392" s="110"/>
      <c r="BE392" s="110"/>
      <c r="BF392" s="110"/>
      <c r="BG392" s="110"/>
      <c r="BH392" s="110"/>
      <c r="BI392" s="110"/>
      <c r="BJ392" s="110"/>
      <c r="BK392" s="110"/>
      <c r="BL392" s="110"/>
      <c r="BM392" s="110"/>
      <c r="BN392" s="110"/>
      <c r="BO392" s="110"/>
      <c r="BP392" s="110"/>
      <c r="BQ392" s="110"/>
      <c r="BR392" s="110"/>
      <c r="BS392" s="110"/>
      <c r="BT392" s="110"/>
      <c r="BU392" s="110"/>
      <c r="BV392" s="110"/>
      <c r="BW392" s="110"/>
      <c r="BX392" s="110"/>
      <c r="BY392" s="110"/>
      <c r="BZ392" s="110"/>
      <c r="CA392" s="110"/>
      <c r="CB392" s="110"/>
      <c r="CC392" s="110"/>
    </row>
    <row r="393" spans="1:81" ht="12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  <c r="AV393" s="110"/>
      <c r="AW393" s="110"/>
      <c r="AX393" s="110"/>
      <c r="AY393" s="110"/>
      <c r="AZ393" s="110"/>
      <c r="BA393" s="110"/>
      <c r="BB393" s="110"/>
      <c r="BC393" s="110"/>
      <c r="BD393" s="110"/>
      <c r="BE393" s="110"/>
      <c r="BF393" s="110"/>
      <c r="BG393" s="110"/>
      <c r="BH393" s="110"/>
      <c r="BI393" s="110"/>
      <c r="BJ393" s="110"/>
      <c r="BK393" s="110"/>
      <c r="BL393" s="110"/>
      <c r="BM393" s="110"/>
      <c r="BN393" s="110"/>
      <c r="BO393" s="110"/>
      <c r="BP393" s="110"/>
      <c r="BQ393" s="110"/>
      <c r="BR393" s="110"/>
      <c r="BS393" s="110"/>
      <c r="BT393" s="110"/>
      <c r="BU393" s="110"/>
      <c r="BV393" s="110"/>
      <c r="BW393" s="110"/>
      <c r="BX393" s="110"/>
      <c r="BY393" s="110"/>
      <c r="BZ393" s="110"/>
      <c r="CA393" s="110"/>
      <c r="CB393" s="110"/>
      <c r="CC393" s="110"/>
    </row>
    <row r="394" spans="1:81" ht="12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  <c r="AV394" s="110"/>
      <c r="AW394" s="110"/>
      <c r="AX394" s="110"/>
      <c r="AY394" s="110"/>
      <c r="AZ394" s="110"/>
      <c r="BA394" s="110"/>
      <c r="BB394" s="110"/>
      <c r="BC394" s="110"/>
      <c r="BD394" s="110"/>
      <c r="BE394" s="110"/>
      <c r="BF394" s="110"/>
      <c r="BG394" s="110"/>
      <c r="BH394" s="110"/>
      <c r="BI394" s="110"/>
      <c r="BJ394" s="110"/>
      <c r="BK394" s="110"/>
      <c r="BL394" s="110"/>
      <c r="BM394" s="110"/>
      <c r="BN394" s="110"/>
      <c r="BO394" s="110"/>
      <c r="BP394" s="110"/>
      <c r="BQ394" s="110"/>
      <c r="BR394" s="110"/>
      <c r="BS394" s="110"/>
      <c r="BT394" s="110"/>
      <c r="BU394" s="110"/>
      <c r="BV394" s="110"/>
      <c r="BW394" s="110"/>
      <c r="BX394" s="110"/>
      <c r="BY394" s="110"/>
      <c r="BZ394" s="110"/>
      <c r="CA394" s="110"/>
      <c r="CB394" s="110"/>
      <c r="CC394" s="110"/>
    </row>
    <row r="395" spans="1:81" ht="12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  <c r="AV395" s="110"/>
      <c r="AW395" s="110"/>
      <c r="AX395" s="110"/>
      <c r="AY395" s="110"/>
      <c r="AZ395" s="110"/>
      <c r="BA395" s="110"/>
      <c r="BB395" s="110"/>
      <c r="BC395" s="110"/>
      <c r="BD395" s="110"/>
      <c r="BE395" s="110"/>
      <c r="BF395" s="110"/>
      <c r="BG395" s="110"/>
      <c r="BH395" s="110"/>
      <c r="BI395" s="110"/>
      <c r="BJ395" s="110"/>
      <c r="BK395" s="110"/>
      <c r="BL395" s="110"/>
      <c r="BM395" s="110"/>
      <c r="BN395" s="110"/>
      <c r="BO395" s="110"/>
      <c r="BP395" s="110"/>
      <c r="BQ395" s="110"/>
      <c r="BR395" s="110"/>
      <c r="BS395" s="110"/>
      <c r="BT395" s="110"/>
      <c r="BU395" s="110"/>
      <c r="BV395" s="110"/>
      <c r="BW395" s="110"/>
      <c r="BX395" s="110"/>
      <c r="BY395" s="110"/>
      <c r="BZ395" s="110"/>
      <c r="CA395" s="110"/>
      <c r="CB395" s="110"/>
      <c r="CC395" s="110"/>
    </row>
    <row r="396" spans="1:81" ht="12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  <c r="AV396" s="110"/>
      <c r="AW396" s="110"/>
      <c r="AX396" s="110"/>
      <c r="AY396" s="110"/>
      <c r="AZ396" s="110"/>
      <c r="BA396" s="110"/>
      <c r="BB396" s="110"/>
      <c r="BC396" s="110"/>
      <c r="BD396" s="110"/>
      <c r="BE396" s="110"/>
      <c r="BF396" s="110"/>
      <c r="BG396" s="110"/>
      <c r="BH396" s="110"/>
      <c r="BI396" s="110"/>
      <c r="BJ396" s="110"/>
      <c r="BK396" s="110"/>
      <c r="BL396" s="110"/>
      <c r="BM396" s="110"/>
      <c r="BN396" s="110"/>
      <c r="BO396" s="110"/>
      <c r="BP396" s="110"/>
      <c r="BQ396" s="110"/>
      <c r="BR396" s="110"/>
      <c r="BS396" s="110"/>
      <c r="BT396" s="110"/>
      <c r="BU396" s="110"/>
      <c r="BV396" s="110"/>
      <c r="BW396" s="110"/>
      <c r="BX396" s="110"/>
      <c r="BY396" s="110"/>
      <c r="BZ396" s="110"/>
      <c r="CA396" s="110"/>
      <c r="CB396" s="110"/>
      <c r="CC396" s="110"/>
    </row>
    <row r="397" spans="1:81" ht="12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  <c r="AV397" s="110"/>
      <c r="AW397" s="110"/>
      <c r="AX397" s="110"/>
      <c r="AY397" s="110"/>
      <c r="AZ397" s="110"/>
      <c r="BA397" s="110"/>
      <c r="BB397" s="110"/>
      <c r="BC397" s="110"/>
      <c r="BD397" s="110"/>
      <c r="BE397" s="110"/>
      <c r="BF397" s="110"/>
      <c r="BG397" s="110"/>
      <c r="BH397" s="110"/>
      <c r="BI397" s="110"/>
      <c r="BJ397" s="110"/>
      <c r="BK397" s="110"/>
      <c r="BL397" s="110"/>
      <c r="BM397" s="110"/>
      <c r="BN397" s="110"/>
      <c r="BO397" s="110"/>
      <c r="BP397" s="110"/>
      <c r="BQ397" s="110"/>
      <c r="BR397" s="110"/>
      <c r="BS397" s="110"/>
      <c r="BT397" s="110"/>
      <c r="BU397" s="110"/>
      <c r="BV397" s="110"/>
      <c r="BW397" s="110"/>
      <c r="BX397" s="110"/>
      <c r="BY397" s="110"/>
      <c r="BZ397" s="110"/>
      <c r="CA397" s="110"/>
      <c r="CB397" s="110"/>
      <c r="CC397" s="110"/>
    </row>
    <row r="398" spans="1:81" ht="12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  <c r="AV398" s="110"/>
      <c r="AW398" s="110"/>
      <c r="AX398" s="110"/>
      <c r="AY398" s="110"/>
      <c r="AZ398" s="110"/>
      <c r="BA398" s="110"/>
      <c r="BB398" s="110"/>
      <c r="BC398" s="110"/>
      <c r="BD398" s="110"/>
      <c r="BE398" s="110"/>
      <c r="BF398" s="110"/>
      <c r="BG398" s="110"/>
      <c r="BH398" s="110"/>
      <c r="BI398" s="110"/>
      <c r="BJ398" s="110"/>
      <c r="BK398" s="110"/>
      <c r="BL398" s="110"/>
      <c r="BM398" s="110"/>
      <c r="BN398" s="110"/>
      <c r="BO398" s="110"/>
      <c r="BP398" s="110"/>
      <c r="BQ398" s="110"/>
      <c r="BR398" s="110"/>
      <c r="BS398" s="110"/>
      <c r="BT398" s="110"/>
      <c r="BU398" s="110"/>
      <c r="BV398" s="110"/>
      <c r="BW398" s="110"/>
      <c r="BX398" s="110"/>
      <c r="BY398" s="110"/>
      <c r="BZ398" s="110"/>
      <c r="CA398" s="110"/>
      <c r="CB398" s="110"/>
      <c r="CC398" s="110"/>
    </row>
    <row r="399" spans="1:81" ht="12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  <c r="AV399" s="110"/>
      <c r="AW399" s="110"/>
      <c r="AX399" s="110"/>
      <c r="AY399" s="110"/>
      <c r="AZ399" s="110"/>
      <c r="BA399" s="110"/>
      <c r="BB399" s="110"/>
      <c r="BC399" s="110"/>
      <c r="BD399" s="110"/>
      <c r="BE399" s="110"/>
      <c r="BF399" s="110"/>
      <c r="BG399" s="110"/>
      <c r="BH399" s="110"/>
      <c r="BI399" s="110"/>
      <c r="BJ399" s="110"/>
      <c r="BK399" s="110"/>
      <c r="BL399" s="110"/>
      <c r="BM399" s="110"/>
      <c r="BN399" s="110"/>
      <c r="BO399" s="110"/>
      <c r="BP399" s="110"/>
      <c r="BQ399" s="110"/>
      <c r="BR399" s="110"/>
      <c r="BS399" s="110"/>
      <c r="BT399" s="110"/>
      <c r="BU399" s="110"/>
      <c r="BV399" s="110"/>
      <c r="BW399" s="110"/>
      <c r="BX399" s="110"/>
      <c r="BY399" s="110"/>
      <c r="BZ399" s="110"/>
      <c r="CA399" s="110"/>
      <c r="CB399" s="110"/>
      <c r="CC399" s="110"/>
    </row>
    <row r="400" spans="1:81" ht="12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  <c r="AW400" s="110"/>
      <c r="AX400" s="110"/>
      <c r="AY400" s="110"/>
      <c r="AZ400" s="110"/>
      <c r="BA400" s="110"/>
      <c r="BB400" s="110"/>
      <c r="BC400" s="110"/>
      <c r="BD400" s="110"/>
      <c r="BE400" s="110"/>
      <c r="BF400" s="110"/>
      <c r="BG400" s="110"/>
      <c r="BH400" s="110"/>
      <c r="BI400" s="110"/>
      <c r="BJ400" s="110"/>
      <c r="BK400" s="110"/>
      <c r="BL400" s="110"/>
      <c r="BM400" s="110"/>
      <c r="BN400" s="110"/>
      <c r="BO400" s="110"/>
      <c r="BP400" s="110"/>
      <c r="BQ400" s="110"/>
      <c r="BR400" s="110"/>
      <c r="BS400" s="110"/>
      <c r="BT400" s="110"/>
      <c r="BU400" s="110"/>
      <c r="BV400" s="110"/>
      <c r="BW400" s="110"/>
      <c r="BX400" s="110"/>
      <c r="BY400" s="110"/>
      <c r="BZ400" s="110"/>
      <c r="CA400" s="110"/>
      <c r="CB400" s="110"/>
      <c r="CC400" s="110"/>
    </row>
    <row r="401" spans="1:81" ht="12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  <c r="AV401" s="110"/>
      <c r="AW401" s="110"/>
      <c r="AX401" s="110"/>
      <c r="AY401" s="110"/>
      <c r="AZ401" s="110"/>
      <c r="BA401" s="110"/>
      <c r="BB401" s="110"/>
      <c r="BC401" s="110"/>
      <c r="BD401" s="110"/>
      <c r="BE401" s="110"/>
      <c r="BF401" s="110"/>
      <c r="BG401" s="110"/>
      <c r="BH401" s="110"/>
      <c r="BI401" s="110"/>
      <c r="BJ401" s="110"/>
      <c r="BK401" s="110"/>
      <c r="BL401" s="110"/>
      <c r="BM401" s="110"/>
      <c r="BN401" s="110"/>
      <c r="BO401" s="110"/>
      <c r="BP401" s="110"/>
      <c r="BQ401" s="110"/>
      <c r="BR401" s="110"/>
      <c r="BS401" s="110"/>
      <c r="BT401" s="110"/>
      <c r="BU401" s="110"/>
      <c r="BV401" s="110"/>
      <c r="BW401" s="110"/>
      <c r="BX401" s="110"/>
      <c r="BY401" s="110"/>
      <c r="BZ401" s="110"/>
      <c r="CA401" s="110"/>
      <c r="CB401" s="110"/>
      <c r="CC401" s="110"/>
    </row>
    <row r="402" spans="1:81" ht="12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  <c r="AV402" s="110"/>
      <c r="AW402" s="110"/>
      <c r="AX402" s="110"/>
      <c r="AY402" s="110"/>
      <c r="AZ402" s="110"/>
      <c r="BA402" s="110"/>
      <c r="BB402" s="110"/>
      <c r="BC402" s="110"/>
      <c r="BD402" s="110"/>
      <c r="BE402" s="110"/>
      <c r="BF402" s="110"/>
      <c r="BG402" s="110"/>
      <c r="BH402" s="110"/>
      <c r="BI402" s="110"/>
      <c r="BJ402" s="110"/>
      <c r="BK402" s="110"/>
      <c r="BL402" s="110"/>
      <c r="BM402" s="110"/>
      <c r="BN402" s="110"/>
      <c r="BO402" s="110"/>
      <c r="BP402" s="110"/>
      <c r="BQ402" s="110"/>
      <c r="BR402" s="110"/>
      <c r="BS402" s="110"/>
      <c r="BT402" s="110"/>
      <c r="BU402" s="110"/>
      <c r="BV402" s="110"/>
      <c r="BW402" s="110"/>
      <c r="BX402" s="110"/>
      <c r="BY402" s="110"/>
      <c r="BZ402" s="110"/>
      <c r="CA402" s="110"/>
      <c r="CB402" s="110"/>
      <c r="CC402" s="110"/>
    </row>
    <row r="403" spans="1:81" ht="12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  <c r="AV403" s="110"/>
      <c r="AW403" s="110"/>
      <c r="AX403" s="110"/>
      <c r="AY403" s="110"/>
      <c r="AZ403" s="110"/>
      <c r="BA403" s="110"/>
      <c r="BB403" s="110"/>
      <c r="BC403" s="110"/>
      <c r="BD403" s="110"/>
      <c r="BE403" s="110"/>
      <c r="BF403" s="110"/>
      <c r="BG403" s="110"/>
      <c r="BH403" s="110"/>
      <c r="BI403" s="110"/>
      <c r="BJ403" s="110"/>
      <c r="BK403" s="110"/>
      <c r="BL403" s="110"/>
      <c r="BM403" s="110"/>
      <c r="BN403" s="110"/>
      <c r="BO403" s="110"/>
      <c r="BP403" s="110"/>
      <c r="BQ403" s="110"/>
      <c r="BR403" s="110"/>
      <c r="BS403" s="110"/>
      <c r="BT403" s="110"/>
      <c r="BU403" s="110"/>
      <c r="BV403" s="110"/>
      <c r="BW403" s="110"/>
      <c r="BX403" s="110"/>
      <c r="BY403" s="110"/>
      <c r="BZ403" s="110"/>
      <c r="CA403" s="110"/>
      <c r="CB403" s="110"/>
      <c r="CC403" s="110"/>
    </row>
    <row r="404" spans="1:81" ht="12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  <c r="AV404" s="110"/>
      <c r="AW404" s="110"/>
      <c r="AX404" s="110"/>
      <c r="AY404" s="110"/>
      <c r="AZ404" s="110"/>
      <c r="BA404" s="110"/>
      <c r="BB404" s="110"/>
      <c r="BC404" s="110"/>
      <c r="BD404" s="110"/>
      <c r="BE404" s="110"/>
      <c r="BF404" s="110"/>
      <c r="BG404" s="110"/>
      <c r="BH404" s="110"/>
      <c r="BI404" s="110"/>
      <c r="BJ404" s="110"/>
      <c r="BK404" s="110"/>
      <c r="BL404" s="110"/>
      <c r="BM404" s="110"/>
      <c r="BN404" s="110"/>
      <c r="BO404" s="110"/>
      <c r="BP404" s="110"/>
      <c r="BQ404" s="110"/>
      <c r="BR404" s="110"/>
      <c r="BS404" s="110"/>
      <c r="BT404" s="110"/>
      <c r="BU404" s="110"/>
      <c r="BV404" s="110"/>
      <c r="BW404" s="110"/>
      <c r="BX404" s="110"/>
      <c r="BY404" s="110"/>
      <c r="BZ404" s="110"/>
      <c r="CA404" s="110"/>
      <c r="CB404" s="110"/>
      <c r="CC404" s="110"/>
    </row>
    <row r="405" spans="1:81" ht="12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  <c r="AV405" s="110"/>
      <c r="AW405" s="110"/>
      <c r="AX405" s="110"/>
      <c r="AY405" s="110"/>
      <c r="AZ405" s="110"/>
      <c r="BA405" s="110"/>
      <c r="BB405" s="110"/>
      <c r="BC405" s="110"/>
      <c r="BD405" s="110"/>
      <c r="BE405" s="110"/>
      <c r="BF405" s="110"/>
      <c r="BG405" s="110"/>
      <c r="BH405" s="110"/>
      <c r="BI405" s="110"/>
      <c r="BJ405" s="110"/>
      <c r="BK405" s="110"/>
      <c r="BL405" s="110"/>
      <c r="BM405" s="110"/>
      <c r="BN405" s="110"/>
      <c r="BO405" s="110"/>
      <c r="BP405" s="110"/>
      <c r="BQ405" s="110"/>
      <c r="BR405" s="110"/>
      <c r="BS405" s="110"/>
      <c r="BT405" s="110"/>
      <c r="BU405" s="110"/>
      <c r="BV405" s="110"/>
      <c r="BW405" s="110"/>
      <c r="BX405" s="110"/>
      <c r="BY405" s="110"/>
      <c r="BZ405" s="110"/>
      <c r="CA405" s="110"/>
      <c r="CB405" s="110"/>
      <c r="CC405" s="110"/>
    </row>
    <row r="406" spans="1:81" ht="12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  <c r="AV406" s="110"/>
      <c r="AW406" s="110"/>
      <c r="AX406" s="110"/>
      <c r="AY406" s="110"/>
      <c r="AZ406" s="110"/>
      <c r="BA406" s="110"/>
      <c r="BB406" s="110"/>
      <c r="BC406" s="110"/>
      <c r="BD406" s="110"/>
      <c r="BE406" s="110"/>
      <c r="BF406" s="110"/>
      <c r="BG406" s="110"/>
      <c r="BH406" s="110"/>
      <c r="BI406" s="110"/>
      <c r="BJ406" s="110"/>
      <c r="BK406" s="110"/>
      <c r="BL406" s="110"/>
      <c r="BM406" s="110"/>
      <c r="BN406" s="110"/>
      <c r="BO406" s="110"/>
      <c r="BP406" s="110"/>
      <c r="BQ406" s="110"/>
      <c r="BR406" s="110"/>
      <c r="BS406" s="110"/>
      <c r="BT406" s="110"/>
      <c r="BU406" s="110"/>
      <c r="BV406" s="110"/>
      <c r="BW406" s="110"/>
      <c r="BX406" s="110"/>
      <c r="BY406" s="110"/>
      <c r="BZ406" s="110"/>
      <c r="CA406" s="110"/>
      <c r="CB406" s="110"/>
      <c r="CC406" s="110"/>
    </row>
    <row r="407" spans="1:81" ht="12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  <c r="AV407" s="110"/>
      <c r="AW407" s="110"/>
      <c r="AX407" s="110"/>
      <c r="AY407" s="110"/>
      <c r="AZ407" s="110"/>
      <c r="BA407" s="110"/>
      <c r="BB407" s="110"/>
      <c r="BC407" s="110"/>
      <c r="BD407" s="110"/>
      <c r="BE407" s="110"/>
      <c r="BF407" s="110"/>
      <c r="BG407" s="110"/>
      <c r="BH407" s="110"/>
      <c r="BI407" s="110"/>
      <c r="BJ407" s="110"/>
      <c r="BK407" s="110"/>
      <c r="BL407" s="110"/>
      <c r="BM407" s="110"/>
      <c r="BN407" s="110"/>
      <c r="BO407" s="110"/>
      <c r="BP407" s="110"/>
      <c r="BQ407" s="110"/>
      <c r="BR407" s="110"/>
      <c r="BS407" s="110"/>
      <c r="BT407" s="110"/>
      <c r="BU407" s="110"/>
      <c r="BV407" s="110"/>
      <c r="BW407" s="110"/>
      <c r="BX407" s="110"/>
      <c r="BY407" s="110"/>
      <c r="BZ407" s="110"/>
      <c r="CA407" s="110"/>
      <c r="CB407" s="110"/>
      <c r="CC407" s="110"/>
    </row>
    <row r="408" spans="1:81" ht="12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  <c r="AV408" s="110"/>
      <c r="AW408" s="110"/>
      <c r="AX408" s="110"/>
      <c r="AY408" s="110"/>
      <c r="AZ408" s="110"/>
      <c r="BA408" s="110"/>
      <c r="BB408" s="110"/>
      <c r="BC408" s="110"/>
      <c r="BD408" s="110"/>
      <c r="BE408" s="110"/>
      <c r="BF408" s="110"/>
      <c r="BG408" s="110"/>
      <c r="BH408" s="110"/>
      <c r="BI408" s="110"/>
      <c r="BJ408" s="110"/>
      <c r="BK408" s="110"/>
      <c r="BL408" s="110"/>
      <c r="BM408" s="110"/>
      <c r="BN408" s="110"/>
      <c r="BO408" s="110"/>
      <c r="BP408" s="110"/>
      <c r="BQ408" s="110"/>
      <c r="BR408" s="110"/>
      <c r="BS408" s="110"/>
      <c r="BT408" s="110"/>
      <c r="BU408" s="110"/>
      <c r="BV408" s="110"/>
      <c r="BW408" s="110"/>
      <c r="BX408" s="110"/>
      <c r="BY408" s="110"/>
      <c r="BZ408" s="110"/>
      <c r="CA408" s="110"/>
      <c r="CB408" s="110"/>
      <c r="CC408" s="110"/>
    </row>
    <row r="409" spans="1:81" ht="12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  <c r="AV409" s="110"/>
      <c r="AW409" s="110"/>
      <c r="AX409" s="110"/>
      <c r="AY409" s="110"/>
      <c r="AZ409" s="110"/>
      <c r="BA409" s="110"/>
      <c r="BB409" s="110"/>
      <c r="BC409" s="110"/>
      <c r="BD409" s="110"/>
      <c r="BE409" s="110"/>
      <c r="BF409" s="110"/>
      <c r="BG409" s="110"/>
      <c r="BH409" s="110"/>
      <c r="BI409" s="110"/>
      <c r="BJ409" s="110"/>
      <c r="BK409" s="110"/>
      <c r="BL409" s="110"/>
      <c r="BM409" s="110"/>
      <c r="BN409" s="110"/>
      <c r="BO409" s="110"/>
      <c r="BP409" s="110"/>
      <c r="BQ409" s="110"/>
      <c r="BR409" s="110"/>
      <c r="BS409" s="110"/>
      <c r="BT409" s="110"/>
      <c r="BU409" s="110"/>
      <c r="BV409" s="110"/>
      <c r="BW409" s="110"/>
      <c r="BX409" s="110"/>
      <c r="BY409" s="110"/>
      <c r="BZ409" s="110"/>
      <c r="CA409" s="110"/>
      <c r="CB409" s="110"/>
      <c r="CC409" s="110"/>
    </row>
    <row r="410" spans="1:81" ht="12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  <c r="AV410" s="110"/>
      <c r="AW410" s="110"/>
      <c r="AX410" s="110"/>
      <c r="AY410" s="110"/>
      <c r="AZ410" s="110"/>
      <c r="BA410" s="110"/>
      <c r="BB410" s="110"/>
      <c r="BC410" s="110"/>
      <c r="BD410" s="110"/>
      <c r="BE410" s="110"/>
      <c r="BF410" s="110"/>
      <c r="BG410" s="110"/>
      <c r="BH410" s="110"/>
      <c r="BI410" s="110"/>
      <c r="BJ410" s="110"/>
      <c r="BK410" s="110"/>
      <c r="BL410" s="110"/>
      <c r="BM410" s="110"/>
      <c r="BN410" s="110"/>
      <c r="BO410" s="110"/>
      <c r="BP410" s="110"/>
      <c r="BQ410" s="110"/>
      <c r="BR410" s="110"/>
      <c r="BS410" s="110"/>
      <c r="BT410" s="110"/>
      <c r="BU410" s="110"/>
      <c r="BV410" s="110"/>
      <c r="BW410" s="110"/>
      <c r="BX410" s="110"/>
      <c r="BY410" s="110"/>
      <c r="BZ410" s="110"/>
      <c r="CA410" s="110"/>
      <c r="CB410" s="110"/>
      <c r="CC410" s="110"/>
    </row>
    <row r="411" spans="1:81" ht="12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  <c r="AV411" s="110"/>
      <c r="AW411" s="110"/>
      <c r="AX411" s="110"/>
      <c r="AY411" s="110"/>
      <c r="AZ411" s="110"/>
      <c r="BA411" s="110"/>
      <c r="BB411" s="110"/>
      <c r="BC411" s="110"/>
      <c r="BD411" s="110"/>
      <c r="BE411" s="110"/>
      <c r="BF411" s="110"/>
      <c r="BG411" s="110"/>
      <c r="BH411" s="110"/>
      <c r="BI411" s="110"/>
      <c r="BJ411" s="110"/>
      <c r="BK411" s="110"/>
      <c r="BL411" s="110"/>
      <c r="BM411" s="110"/>
      <c r="BN411" s="110"/>
      <c r="BO411" s="110"/>
      <c r="BP411" s="110"/>
      <c r="BQ411" s="110"/>
      <c r="BR411" s="110"/>
      <c r="BS411" s="110"/>
      <c r="BT411" s="110"/>
      <c r="BU411" s="110"/>
      <c r="BV411" s="110"/>
      <c r="BW411" s="110"/>
      <c r="BX411" s="110"/>
      <c r="BY411" s="110"/>
      <c r="BZ411" s="110"/>
      <c r="CA411" s="110"/>
      <c r="CB411" s="110"/>
      <c r="CC411" s="110"/>
    </row>
    <row r="412" spans="1:81" ht="12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  <c r="AV412" s="110"/>
      <c r="AW412" s="110"/>
      <c r="AX412" s="110"/>
      <c r="AY412" s="110"/>
      <c r="AZ412" s="110"/>
      <c r="BA412" s="110"/>
      <c r="BB412" s="110"/>
      <c r="BC412" s="110"/>
      <c r="BD412" s="110"/>
      <c r="BE412" s="110"/>
      <c r="BF412" s="110"/>
      <c r="BG412" s="110"/>
      <c r="BH412" s="110"/>
      <c r="BI412" s="110"/>
      <c r="BJ412" s="110"/>
      <c r="BK412" s="110"/>
      <c r="BL412" s="110"/>
      <c r="BM412" s="110"/>
      <c r="BN412" s="110"/>
      <c r="BO412" s="110"/>
      <c r="BP412" s="110"/>
      <c r="BQ412" s="110"/>
      <c r="BR412" s="110"/>
      <c r="BS412" s="110"/>
      <c r="BT412" s="110"/>
      <c r="BU412" s="110"/>
      <c r="BV412" s="110"/>
      <c r="BW412" s="110"/>
      <c r="BX412" s="110"/>
      <c r="BY412" s="110"/>
      <c r="BZ412" s="110"/>
      <c r="CA412" s="110"/>
      <c r="CB412" s="110"/>
      <c r="CC412" s="110"/>
    </row>
    <row r="413" spans="1:81" ht="12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  <c r="AV413" s="110"/>
      <c r="AW413" s="110"/>
      <c r="AX413" s="110"/>
      <c r="AY413" s="110"/>
      <c r="AZ413" s="110"/>
      <c r="BA413" s="110"/>
      <c r="BB413" s="110"/>
      <c r="BC413" s="110"/>
      <c r="BD413" s="110"/>
      <c r="BE413" s="110"/>
      <c r="BF413" s="110"/>
      <c r="BG413" s="110"/>
      <c r="BH413" s="110"/>
      <c r="BI413" s="110"/>
      <c r="BJ413" s="110"/>
      <c r="BK413" s="110"/>
      <c r="BL413" s="110"/>
      <c r="BM413" s="110"/>
      <c r="BN413" s="110"/>
      <c r="BO413" s="110"/>
      <c r="BP413" s="110"/>
      <c r="BQ413" s="110"/>
      <c r="BR413" s="110"/>
      <c r="BS413" s="110"/>
      <c r="BT413" s="110"/>
      <c r="BU413" s="110"/>
      <c r="BV413" s="110"/>
      <c r="BW413" s="110"/>
      <c r="BX413" s="110"/>
      <c r="BY413" s="110"/>
      <c r="BZ413" s="110"/>
      <c r="CA413" s="110"/>
      <c r="CB413" s="110"/>
      <c r="CC413" s="110"/>
    </row>
    <row r="414" spans="1:81" ht="12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  <c r="AV414" s="110"/>
      <c r="AW414" s="110"/>
      <c r="AX414" s="110"/>
      <c r="AY414" s="110"/>
      <c r="AZ414" s="110"/>
      <c r="BA414" s="110"/>
      <c r="BB414" s="110"/>
      <c r="BC414" s="110"/>
      <c r="BD414" s="110"/>
      <c r="BE414" s="110"/>
      <c r="BF414" s="110"/>
      <c r="BG414" s="110"/>
      <c r="BH414" s="110"/>
      <c r="BI414" s="110"/>
      <c r="BJ414" s="110"/>
      <c r="BK414" s="110"/>
      <c r="BL414" s="110"/>
      <c r="BM414" s="110"/>
      <c r="BN414" s="110"/>
      <c r="BO414" s="110"/>
      <c r="BP414" s="110"/>
      <c r="BQ414" s="110"/>
      <c r="BR414" s="110"/>
      <c r="BS414" s="110"/>
      <c r="BT414" s="110"/>
      <c r="BU414" s="110"/>
      <c r="BV414" s="110"/>
      <c r="BW414" s="110"/>
      <c r="BX414" s="110"/>
      <c r="BY414" s="110"/>
      <c r="BZ414" s="110"/>
      <c r="CA414" s="110"/>
      <c r="CB414" s="110"/>
      <c r="CC414" s="110"/>
    </row>
    <row r="415" spans="1:81" ht="12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  <c r="AV415" s="110"/>
      <c r="AW415" s="110"/>
      <c r="AX415" s="110"/>
      <c r="AY415" s="110"/>
      <c r="AZ415" s="110"/>
      <c r="BA415" s="110"/>
      <c r="BB415" s="110"/>
      <c r="BC415" s="110"/>
      <c r="BD415" s="110"/>
      <c r="BE415" s="110"/>
      <c r="BF415" s="110"/>
      <c r="BG415" s="110"/>
      <c r="BH415" s="110"/>
      <c r="BI415" s="110"/>
      <c r="BJ415" s="110"/>
      <c r="BK415" s="110"/>
      <c r="BL415" s="110"/>
      <c r="BM415" s="110"/>
      <c r="BN415" s="110"/>
      <c r="BO415" s="110"/>
      <c r="BP415" s="110"/>
      <c r="BQ415" s="110"/>
      <c r="BR415" s="110"/>
      <c r="BS415" s="110"/>
      <c r="BT415" s="110"/>
      <c r="BU415" s="110"/>
      <c r="BV415" s="110"/>
      <c r="BW415" s="110"/>
      <c r="BX415" s="110"/>
      <c r="BY415" s="110"/>
      <c r="BZ415" s="110"/>
      <c r="CA415" s="110"/>
      <c r="CB415" s="110"/>
      <c r="CC415" s="110"/>
    </row>
    <row r="416" spans="1:81" ht="12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  <c r="AV416" s="110"/>
      <c r="AW416" s="110"/>
      <c r="AX416" s="110"/>
      <c r="AY416" s="110"/>
      <c r="AZ416" s="110"/>
      <c r="BA416" s="110"/>
      <c r="BB416" s="110"/>
      <c r="BC416" s="110"/>
      <c r="BD416" s="110"/>
      <c r="BE416" s="110"/>
      <c r="BF416" s="110"/>
      <c r="BG416" s="110"/>
      <c r="BH416" s="110"/>
      <c r="BI416" s="110"/>
      <c r="BJ416" s="110"/>
      <c r="BK416" s="110"/>
      <c r="BL416" s="110"/>
      <c r="BM416" s="110"/>
      <c r="BN416" s="110"/>
      <c r="BO416" s="110"/>
      <c r="BP416" s="110"/>
      <c r="BQ416" s="110"/>
      <c r="BR416" s="110"/>
      <c r="BS416" s="110"/>
      <c r="BT416" s="110"/>
      <c r="BU416" s="110"/>
      <c r="BV416" s="110"/>
      <c r="BW416" s="110"/>
      <c r="BX416" s="110"/>
      <c r="BY416" s="110"/>
      <c r="BZ416" s="110"/>
      <c r="CA416" s="110"/>
      <c r="CB416" s="110"/>
      <c r="CC416" s="110"/>
    </row>
    <row r="417" spans="1:81" ht="12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  <c r="AW417" s="110"/>
      <c r="AX417" s="110"/>
      <c r="AY417" s="110"/>
      <c r="AZ417" s="110"/>
      <c r="BA417" s="110"/>
      <c r="BB417" s="110"/>
      <c r="BC417" s="110"/>
      <c r="BD417" s="110"/>
      <c r="BE417" s="110"/>
      <c r="BF417" s="110"/>
      <c r="BG417" s="110"/>
      <c r="BH417" s="110"/>
      <c r="BI417" s="110"/>
      <c r="BJ417" s="110"/>
      <c r="BK417" s="110"/>
      <c r="BL417" s="110"/>
      <c r="BM417" s="110"/>
      <c r="BN417" s="110"/>
      <c r="BO417" s="110"/>
      <c r="BP417" s="110"/>
      <c r="BQ417" s="110"/>
      <c r="BR417" s="110"/>
      <c r="BS417" s="110"/>
      <c r="BT417" s="110"/>
      <c r="BU417" s="110"/>
      <c r="BV417" s="110"/>
      <c r="BW417" s="110"/>
      <c r="BX417" s="110"/>
      <c r="BY417" s="110"/>
      <c r="BZ417" s="110"/>
      <c r="CA417" s="110"/>
      <c r="CB417" s="110"/>
      <c r="CC417" s="110"/>
    </row>
    <row r="418" spans="1:81" ht="12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  <c r="AV418" s="110"/>
      <c r="AW418" s="110"/>
      <c r="AX418" s="110"/>
      <c r="AY418" s="110"/>
      <c r="AZ418" s="110"/>
      <c r="BA418" s="110"/>
      <c r="BB418" s="110"/>
      <c r="BC418" s="110"/>
      <c r="BD418" s="110"/>
      <c r="BE418" s="110"/>
      <c r="BF418" s="110"/>
      <c r="BG418" s="110"/>
      <c r="BH418" s="110"/>
      <c r="BI418" s="110"/>
      <c r="BJ418" s="110"/>
      <c r="BK418" s="110"/>
      <c r="BL418" s="110"/>
      <c r="BM418" s="110"/>
      <c r="BN418" s="110"/>
      <c r="BO418" s="110"/>
      <c r="BP418" s="110"/>
      <c r="BQ418" s="110"/>
      <c r="BR418" s="110"/>
      <c r="BS418" s="110"/>
      <c r="BT418" s="110"/>
      <c r="BU418" s="110"/>
      <c r="BV418" s="110"/>
      <c r="BW418" s="110"/>
      <c r="BX418" s="110"/>
      <c r="BY418" s="110"/>
      <c r="BZ418" s="110"/>
      <c r="CA418" s="110"/>
      <c r="CB418" s="110"/>
      <c r="CC418" s="110"/>
    </row>
    <row r="419" spans="1:81" ht="12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  <c r="AV419" s="110"/>
      <c r="AW419" s="110"/>
      <c r="AX419" s="110"/>
      <c r="AY419" s="110"/>
      <c r="AZ419" s="110"/>
      <c r="BA419" s="110"/>
      <c r="BB419" s="110"/>
      <c r="BC419" s="110"/>
      <c r="BD419" s="110"/>
      <c r="BE419" s="110"/>
      <c r="BF419" s="110"/>
      <c r="BG419" s="110"/>
      <c r="BH419" s="110"/>
      <c r="BI419" s="110"/>
      <c r="BJ419" s="110"/>
      <c r="BK419" s="110"/>
      <c r="BL419" s="110"/>
      <c r="BM419" s="110"/>
      <c r="BN419" s="110"/>
      <c r="BO419" s="110"/>
      <c r="BP419" s="110"/>
      <c r="BQ419" s="110"/>
      <c r="BR419" s="110"/>
      <c r="BS419" s="110"/>
      <c r="BT419" s="110"/>
      <c r="BU419" s="110"/>
      <c r="BV419" s="110"/>
      <c r="BW419" s="110"/>
      <c r="BX419" s="110"/>
      <c r="BY419" s="110"/>
      <c r="BZ419" s="110"/>
      <c r="CA419" s="110"/>
      <c r="CB419" s="110"/>
      <c r="CC419" s="110"/>
    </row>
    <row r="420" spans="1:81" ht="12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  <c r="AV420" s="110"/>
      <c r="AW420" s="110"/>
      <c r="AX420" s="110"/>
      <c r="AY420" s="110"/>
      <c r="AZ420" s="110"/>
      <c r="BA420" s="110"/>
      <c r="BB420" s="110"/>
      <c r="BC420" s="110"/>
      <c r="BD420" s="110"/>
      <c r="BE420" s="110"/>
      <c r="BF420" s="110"/>
      <c r="BG420" s="110"/>
      <c r="BH420" s="110"/>
      <c r="BI420" s="110"/>
      <c r="BJ420" s="110"/>
      <c r="BK420" s="110"/>
      <c r="BL420" s="110"/>
      <c r="BM420" s="110"/>
      <c r="BN420" s="110"/>
      <c r="BO420" s="110"/>
      <c r="BP420" s="110"/>
      <c r="BQ420" s="110"/>
      <c r="BR420" s="110"/>
      <c r="BS420" s="110"/>
      <c r="BT420" s="110"/>
      <c r="BU420" s="110"/>
      <c r="BV420" s="110"/>
      <c r="BW420" s="110"/>
      <c r="BX420" s="110"/>
      <c r="BY420" s="110"/>
      <c r="BZ420" s="110"/>
      <c r="CA420" s="110"/>
      <c r="CB420" s="110"/>
      <c r="CC420" s="110"/>
    </row>
    <row r="421" spans="1:81" ht="12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  <c r="AW421" s="110"/>
      <c r="AX421" s="110"/>
      <c r="AY421" s="110"/>
      <c r="AZ421" s="110"/>
      <c r="BA421" s="110"/>
      <c r="BB421" s="110"/>
      <c r="BC421" s="110"/>
      <c r="BD421" s="110"/>
      <c r="BE421" s="110"/>
      <c r="BF421" s="110"/>
      <c r="BG421" s="110"/>
      <c r="BH421" s="110"/>
      <c r="BI421" s="110"/>
      <c r="BJ421" s="110"/>
      <c r="BK421" s="110"/>
      <c r="BL421" s="110"/>
      <c r="BM421" s="110"/>
      <c r="BN421" s="110"/>
      <c r="BO421" s="110"/>
      <c r="BP421" s="110"/>
      <c r="BQ421" s="110"/>
      <c r="BR421" s="110"/>
      <c r="BS421" s="110"/>
      <c r="BT421" s="110"/>
      <c r="BU421" s="110"/>
      <c r="BV421" s="110"/>
      <c r="BW421" s="110"/>
      <c r="BX421" s="110"/>
      <c r="BY421" s="110"/>
      <c r="BZ421" s="110"/>
      <c r="CA421" s="110"/>
      <c r="CB421" s="110"/>
      <c r="CC421" s="110"/>
    </row>
    <row r="422" spans="1:81" ht="12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  <c r="AV422" s="110"/>
      <c r="AW422" s="110"/>
      <c r="AX422" s="110"/>
      <c r="AY422" s="110"/>
      <c r="AZ422" s="110"/>
      <c r="BA422" s="110"/>
      <c r="BB422" s="110"/>
      <c r="BC422" s="110"/>
      <c r="BD422" s="110"/>
      <c r="BE422" s="110"/>
      <c r="BF422" s="110"/>
      <c r="BG422" s="110"/>
      <c r="BH422" s="110"/>
      <c r="BI422" s="110"/>
      <c r="BJ422" s="110"/>
      <c r="BK422" s="110"/>
      <c r="BL422" s="110"/>
      <c r="BM422" s="110"/>
      <c r="BN422" s="110"/>
      <c r="BO422" s="110"/>
      <c r="BP422" s="110"/>
      <c r="BQ422" s="110"/>
      <c r="BR422" s="110"/>
      <c r="BS422" s="110"/>
      <c r="BT422" s="110"/>
      <c r="BU422" s="110"/>
      <c r="BV422" s="110"/>
      <c r="BW422" s="110"/>
      <c r="BX422" s="110"/>
      <c r="BY422" s="110"/>
      <c r="BZ422" s="110"/>
      <c r="CA422" s="110"/>
      <c r="CB422" s="110"/>
      <c r="CC422" s="110"/>
    </row>
    <row r="423" spans="1:81" ht="12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  <c r="AV423" s="110"/>
      <c r="AW423" s="110"/>
      <c r="AX423" s="110"/>
      <c r="AY423" s="110"/>
      <c r="AZ423" s="110"/>
      <c r="BA423" s="110"/>
      <c r="BB423" s="110"/>
      <c r="BC423" s="110"/>
      <c r="BD423" s="110"/>
      <c r="BE423" s="110"/>
      <c r="BF423" s="110"/>
      <c r="BG423" s="110"/>
      <c r="BH423" s="110"/>
      <c r="BI423" s="110"/>
      <c r="BJ423" s="110"/>
      <c r="BK423" s="110"/>
      <c r="BL423" s="110"/>
      <c r="BM423" s="110"/>
      <c r="BN423" s="110"/>
      <c r="BO423" s="110"/>
      <c r="BP423" s="110"/>
      <c r="BQ423" s="110"/>
      <c r="BR423" s="110"/>
      <c r="BS423" s="110"/>
      <c r="BT423" s="110"/>
      <c r="BU423" s="110"/>
      <c r="BV423" s="110"/>
      <c r="BW423" s="110"/>
      <c r="BX423" s="110"/>
      <c r="BY423" s="110"/>
      <c r="BZ423" s="110"/>
      <c r="CA423" s="110"/>
      <c r="CB423" s="110"/>
      <c r="CC423" s="110"/>
    </row>
    <row r="424" spans="1:81" ht="12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  <c r="AV424" s="110"/>
      <c r="AW424" s="110"/>
      <c r="AX424" s="110"/>
      <c r="AY424" s="110"/>
      <c r="AZ424" s="110"/>
      <c r="BA424" s="110"/>
      <c r="BB424" s="110"/>
      <c r="BC424" s="110"/>
      <c r="BD424" s="110"/>
      <c r="BE424" s="110"/>
      <c r="BF424" s="110"/>
      <c r="BG424" s="110"/>
      <c r="BH424" s="110"/>
      <c r="BI424" s="110"/>
      <c r="BJ424" s="110"/>
      <c r="BK424" s="110"/>
      <c r="BL424" s="110"/>
      <c r="BM424" s="110"/>
      <c r="BN424" s="110"/>
      <c r="BO424" s="110"/>
      <c r="BP424" s="110"/>
      <c r="BQ424" s="110"/>
      <c r="BR424" s="110"/>
      <c r="BS424" s="110"/>
      <c r="BT424" s="110"/>
      <c r="BU424" s="110"/>
      <c r="BV424" s="110"/>
      <c r="BW424" s="110"/>
      <c r="BX424" s="110"/>
      <c r="BY424" s="110"/>
      <c r="BZ424" s="110"/>
      <c r="CA424" s="110"/>
      <c r="CB424" s="110"/>
      <c r="CC424" s="110"/>
    </row>
    <row r="425" spans="1:81" ht="12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  <c r="AV425" s="110"/>
      <c r="AW425" s="110"/>
      <c r="AX425" s="110"/>
      <c r="AY425" s="110"/>
      <c r="AZ425" s="110"/>
      <c r="BA425" s="110"/>
      <c r="BB425" s="110"/>
      <c r="BC425" s="110"/>
      <c r="BD425" s="110"/>
      <c r="BE425" s="110"/>
      <c r="BF425" s="110"/>
      <c r="BG425" s="110"/>
      <c r="BH425" s="110"/>
      <c r="BI425" s="110"/>
      <c r="BJ425" s="110"/>
      <c r="BK425" s="110"/>
      <c r="BL425" s="110"/>
      <c r="BM425" s="110"/>
      <c r="BN425" s="110"/>
      <c r="BO425" s="110"/>
      <c r="BP425" s="110"/>
      <c r="BQ425" s="110"/>
      <c r="BR425" s="110"/>
      <c r="BS425" s="110"/>
      <c r="BT425" s="110"/>
      <c r="BU425" s="110"/>
      <c r="BV425" s="110"/>
      <c r="BW425" s="110"/>
      <c r="BX425" s="110"/>
      <c r="BY425" s="110"/>
      <c r="BZ425" s="110"/>
      <c r="CA425" s="110"/>
      <c r="CB425" s="110"/>
      <c r="CC425" s="110"/>
    </row>
    <row r="426" spans="1:81" ht="12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  <c r="AV426" s="110"/>
      <c r="AW426" s="110"/>
      <c r="AX426" s="110"/>
      <c r="AY426" s="110"/>
      <c r="AZ426" s="110"/>
      <c r="BA426" s="110"/>
      <c r="BB426" s="110"/>
      <c r="BC426" s="110"/>
      <c r="BD426" s="110"/>
      <c r="BE426" s="110"/>
      <c r="BF426" s="110"/>
      <c r="BG426" s="110"/>
      <c r="BH426" s="110"/>
      <c r="BI426" s="110"/>
      <c r="BJ426" s="110"/>
      <c r="BK426" s="110"/>
      <c r="BL426" s="110"/>
      <c r="BM426" s="110"/>
      <c r="BN426" s="110"/>
      <c r="BO426" s="110"/>
      <c r="BP426" s="110"/>
      <c r="BQ426" s="110"/>
      <c r="BR426" s="110"/>
      <c r="BS426" s="110"/>
      <c r="BT426" s="110"/>
      <c r="BU426" s="110"/>
      <c r="BV426" s="110"/>
      <c r="BW426" s="110"/>
      <c r="BX426" s="110"/>
      <c r="BY426" s="110"/>
      <c r="BZ426" s="110"/>
      <c r="CA426" s="110"/>
      <c r="CB426" s="110"/>
      <c r="CC426" s="110"/>
    </row>
    <row r="427" spans="1:81" ht="12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  <c r="AV427" s="110"/>
      <c r="AW427" s="110"/>
      <c r="AX427" s="110"/>
      <c r="AY427" s="110"/>
      <c r="AZ427" s="110"/>
      <c r="BA427" s="110"/>
      <c r="BB427" s="110"/>
      <c r="BC427" s="110"/>
      <c r="BD427" s="110"/>
      <c r="BE427" s="110"/>
      <c r="BF427" s="110"/>
      <c r="BG427" s="110"/>
      <c r="BH427" s="110"/>
      <c r="BI427" s="110"/>
      <c r="BJ427" s="110"/>
      <c r="BK427" s="110"/>
      <c r="BL427" s="110"/>
      <c r="BM427" s="110"/>
      <c r="BN427" s="110"/>
      <c r="BO427" s="110"/>
      <c r="BP427" s="110"/>
      <c r="BQ427" s="110"/>
      <c r="BR427" s="110"/>
      <c r="BS427" s="110"/>
      <c r="BT427" s="110"/>
      <c r="BU427" s="110"/>
      <c r="BV427" s="110"/>
      <c r="BW427" s="110"/>
      <c r="BX427" s="110"/>
      <c r="BY427" s="110"/>
      <c r="BZ427" s="110"/>
      <c r="CA427" s="110"/>
      <c r="CB427" s="110"/>
      <c r="CC427" s="110"/>
    </row>
    <row r="428" spans="1:81" ht="12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  <c r="AV428" s="110"/>
      <c r="AW428" s="110"/>
      <c r="AX428" s="110"/>
      <c r="AY428" s="110"/>
      <c r="AZ428" s="110"/>
      <c r="BA428" s="110"/>
      <c r="BB428" s="110"/>
      <c r="BC428" s="110"/>
      <c r="BD428" s="110"/>
      <c r="BE428" s="110"/>
      <c r="BF428" s="110"/>
      <c r="BG428" s="110"/>
      <c r="BH428" s="110"/>
      <c r="BI428" s="110"/>
      <c r="BJ428" s="110"/>
      <c r="BK428" s="110"/>
      <c r="BL428" s="110"/>
      <c r="BM428" s="110"/>
      <c r="BN428" s="110"/>
      <c r="BO428" s="110"/>
      <c r="BP428" s="110"/>
      <c r="BQ428" s="110"/>
      <c r="BR428" s="110"/>
      <c r="BS428" s="110"/>
      <c r="BT428" s="110"/>
      <c r="BU428" s="110"/>
      <c r="BV428" s="110"/>
      <c r="BW428" s="110"/>
      <c r="BX428" s="110"/>
      <c r="BY428" s="110"/>
      <c r="BZ428" s="110"/>
      <c r="CA428" s="110"/>
      <c r="CB428" s="110"/>
      <c r="CC428" s="110"/>
    </row>
    <row r="429" spans="1:81" ht="12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  <c r="AV429" s="110"/>
      <c r="AW429" s="110"/>
      <c r="AX429" s="110"/>
      <c r="AY429" s="110"/>
      <c r="AZ429" s="110"/>
      <c r="BA429" s="110"/>
      <c r="BB429" s="110"/>
      <c r="BC429" s="110"/>
      <c r="BD429" s="110"/>
      <c r="BE429" s="110"/>
      <c r="BF429" s="110"/>
      <c r="BG429" s="110"/>
      <c r="BH429" s="110"/>
      <c r="BI429" s="110"/>
      <c r="BJ429" s="110"/>
      <c r="BK429" s="110"/>
      <c r="BL429" s="110"/>
      <c r="BM429" s="110"/>
      <c r="BN429" s="110"/>
      <c r="BO429" s="110"/>
      <c r="BP429" s="110"/>
      <c r="BQ429" s="110"/>
      <c r="BR429" s="110"/>
      <c r="BS429" s="110"/>
      <c r="BT429" s="110"/>
      <c r="BU429" s="110"/>
      <c r="BV429" s="110"/>
      <c r="BW429" s="110"/>
      <c r="BX429" s="110"/>
      <c r="BY429" s="110"/>
      <c r="BZ429" s="110"/>
      <c r="CA429" s="110"/>
      <c r="CB429" s="110"/>
      <c r="CC429" s="110"/>
    </row>
    <row r="430" spans="1:81" ht="12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  <c r="AW430" s="110"/>
      <c r="AX430" s="110"/>
      <c r="AY430" s="110"/>
      <c r="AZ430" s="110"/>
      <c r="BA430" s="110"/>
      <c r="BB430" s="110"/>
      <c r="BC430" s="110"/>
      <c r="BD430" s="110"/>
      <c r="BE430" s="110"/>
      <c r="BF430" s="110"/>
      <c r="BG430" s="110"/>
      <c r="BH430" s="110"/>
      <c r="BI430" s="110"/>
      <c r="BJ430" s="110"/>
      <c r="BK430" s="110"/>
      <c r="BL430" s="110"/>
      <c r="BM430" s="110"/>
      <c r="BN430" s="110"/>
      <c r="BO430" s="110"/>
      <c r="BP430" s="110"/>
      <c r="BQ430" s="110"/>
      <c r="BR430" s="110"/>
      <c r="BS430" s="110"/>
      <c r="BT430" s="110"/>
      <c r="BU430" s="110"/>
      <c r="BV430" s="110"/>
      <c r="BW430" s="110"/>
      <c r="BX430" s="110"/>
      <c r="BY430" s="110"/>
      <c r="BZ430" s="110"/>
      <c r="CA430" s="110"/>
      <c r="CB430" s="110"/>
      <c r="CC430" s="110"/>
    </row>
    <row r="431" spans="1:81" ht="12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  <c r="AV431" s="110"/>
      <c r="AW431" s="110"/>
      <c r="AX431" s="110"/>
      <c r="AY431" s="110"/>
      <c r="AZ431" s="110"/>
      <c r="BA431" s="110"/>
      <c r="BB431" s="110"/>
      <c r="BC431" s="110"/>
      <c r="BD431" s="110"/>
      <c r="BE431" s="110"/>
      <c r="BF431" s="110"/>
      <c r="BG431" s="110"/>
      <c r="BH431" s="110"/>
      <c r="BI431" s="110"/>
      <c r="BJ431" s="110"/>
      <c r="BK431" s="110"/>
      <c r="BL431" s="110"/>
      <c r="BM431" s="110"/>
      <c r="BN431" s="110"/>
      <c r="BO431" s="110"/>
      <c r="BP431" s="110"/>
      <c r="BQ431" s="110"/>
      <c r="BR431" s="110"/>
      <c r="BS431" s="110"/>
      <c r="BT431" s="110"/>
      <c r="BU431" s="110"/>
      <c r="BV431" s="110"/>
      <c r="BW431" s="110"/>
      <c r="BX431" s="110"/>
      <c r="BY431" s="110"/>
      <c r="BZ431" s="110"/>
      <c r="CA431" s="110"/>
      <c r="CB431" s="110"/>
      <c r="CC431" s="110"/>
    </row>
    <row r="432" spans="1:81" ht="12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  <c r="AV432" s="110"/>
      <c r="AW432" s="110"/>
      <c r="AX432" s="110"/>
      <c r="AY432" s="110"/>
      <c r="AZ432" s="110"/>
      <c r="BA432" s="110"/>
      <c r="BB432" s="110"/>
      <c r="BC432" s="110"/>
      <c r="BD432" s="110"/>
      <c r="BE432" s="110"/>
      <c r="BF432" s="110"/>
      <c r="BG432" s="110"/>
      <c r="BH432" s="110"/>
      <c r="BI432" s="110"/>
      <c r="BJ432" s="110"/>
      <c r="BK432" s="110"/>
      <c r="BL432" s="110"/>
      <c r="BM432" s="110"/>
      <c r="BN432" s="110"/>
      <c r="BO432" s="110"/>
      <c r="BP432" s="110"/>
      <c r="BQ432" s="110"/>
      <c r="BR432" s="110"/>
      <c r="BS432" s="110"/>
      <c r="BT432" s="110"/>
      <c r="BU432" s="110"/>
      <c r="BV432" s="110"/>
      <c r="BW432" s="110"/>
      <c r="BX432" s="110"/>
      <c r="BY432" s="110"/>
      <c r="BZ432" s="110"/>
      <c r="CA432" s="110"/>
      <c r="CB432" s="110"/>
      <c r="CC432" s="110"/>
    </row>
    <row r="433" spans="1:81" ht="12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  <c r="AV433" s="110"/>
      <c r="AW433" s="110"/>
      <c r="AX433" s="110"/>
      <c r="AY433" s="110"/>
      <c r="AZ433" s="110"/>
      <c r="BA433" s="110"/>
      <c r="BB433" s="110"/>
      <c r="BC433" s="110"/>
      <c r="BD433" s="110"/>
      <c r="BE433" s="110"/>
      <c r="BF433" s="110"/>
      <c r="BG433" s="110"/>
      <c r="BH433" s="110"/>
      <c r="BI433" s="110"/>
      <c r="BJ433" s="110"/>
      <c r="BK433" s="110"/>
      <c r="BL433" s="110"/>
      <c r="BM433" s="110"/>
      <c r="BN433" s="110"/>
      <c r="BO433" s="110"/>
      <c r="BP433" s="110"/>
      <c r="BQ433" s="110"/>
      <c r="BR433" s="110"/>
      <c r="BS433" s="110"/>
      <c r="BT433" s="110"/>
      <c r="BU433" s="110"/>
      <c r="BV433" s="110"/>
      <c r="BW433" s="110"/>
      <c r="BX433" s="110"/>
      <c r="BY433" s="110"/>
      <c r="BZ433" s="110"/>
      <c r="CA433" s="110"/>
      <c r="CB433" s="110"/>
      <c r="CC433" s="110"/>
    </row>
    <row r="434" spans="1:81" ht="12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  <c r="AV434" s="110"/>
      <c r="AW434" s="110"/>
      <c r="AX434" s="110"/>
      <c r="AY434" s="110"/>
      <c r="AZ434" s="110"/>
      <c r="BA434" s="110"/>
      <c r="BB434" s="110"/>
      <c r="BC434" s="110"/>
      <c r="BD434" s="110"/>
      <c r="BE434" s="110"/>
      <c r="BF434" s="110"/>
      <c r="BG434" s="110"/>
      <c r="BH434" s="110"/>
      <c r="BI434" s="110"/>
      <c r="BJ434" s="110"/>
      <c r="BK434" s="110"/>
      <c r="BL434" s="110"/>
      <c r="BM434" s="110"/>
      <c r="BN434" s="110"/>
      <c r="BO434" s="110"/>
      <c r="BP434" s="110"/>
      <c r="BQ434" s="110"/>
      <c r="BR434" s="110"/>
      <c r="BS434" s="110"/>
      <c r="BT434" s="110"/>
      <c r="BU434" s="110"/>
      <c r="BV434" s="110"/>
      <c r="BW434" s="110"/>
      <c r="BX434" s="110"/>
      <c r="BY434" s="110"/>
      <c r="BZ434" s="110"/>
      <c r="CA434" s="110"/>
      <c r="CB434" s="110"/>
      <c r="CC434" s="110"/>
    </row>
    <row r="435" spans="1:81" ht="12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  <c r="AV435" s="110"/>
      <c r="AW435" s="110"/>
      <c r="AX435" s="110"/>
      <c r="AY435" s="110"/>
      <c r="AZ435" s="110"/>
      <c r="BA435" s="110"/>
      <c r="BB435" s="110"/>
      <c r="BC435" s="110"/>
      <c r="BD435" s="110"/>
      <c r="BE435" s="110"/>
      <c r="BF435" s="110"/>
      <c r="BG435" s="110"/>
      <c r="BH435" s="110"/>
      <c r="BI435" s="110"/>
      <c r="BJ435" s="110"/>
      <c r="BK435" s="110"/>
      <c r="BL435" s="110"/>
      <c r="BM435" s="110"/>
      <c r="BN435" s="110"/>
      <c r="BO435" s="110"/>
      <c r="BP435" s="110"/>
      <c r="BQ435" s="110"/>
      <c r="BR435" s="110"/>
      <c r="BS435" s="110"/>
      <c r="BT435" s="110"/>
      <c r="BU435" s="110"/>
      <c r="BV435" s="110"/>
      <c r="BW435" s="110"/>
      <c r="BX435" s="110"/>
      <c r="BY435" s="110"/>
      <c r="BZ435" s="110"/>
      <c r="CA435" s="110"/>
      <c r="CB435" s="110"/>
      <c r="CC435" s="110"/>
    </row>
    <row r="436" spans="1:81" ht="12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  <c r="AV436" s="110"/>
      <c r="AW436" s="110"/>
      <c r="AX436" s="110"/>
      <c r="AY436" s="110"/>
      <c r="AZ436" s="110"/>
      <c r="BA436" s="110"/>
      <c r="BB436" s="110"/>
      <c r="BC436" s="110"/>
      <c r="BD436" s="110"/>
      <c r="BE436" s="110"/>
      <c r="BF436" s="110"/>
      <c r="BG436" s="110"/>
      <c r="BH436" s="110"/>
      <c r="BI436" s="110"/>
      <c r="BJ436" s="110"/>
      <c r="BK436" s="110"/>
      <c r="BL436" s="110"/>
      <c r="BM436" s="110"/>
      <c r="BN436" s="110"/>
      <c r="BO436" s="110"/>
      <c r="BP436" s="110"/>
      <c r="BQ436" s="110"/>
      <c r="BR436" s="110"/>
      <c r="BS436" s="110"/>
      <c r="BT436" s="110"/>
      <c r="BU436" s="110"/>
      <c r="BV436" s="110"/>
      <c r="BW436" s="110"/>
      <c r="BX436" s="110"/>
      <c r="BY436" s="110"/>
      <c r="BZ436" s="110"/>
      <c r="CA436" s="110"/>
      <c r="CB436" s="110"/>
      <c r="CC436" s="110"/>
    </row>
    <row r="437" spans="1:81" ht="12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  <c r="AV437" s="110"/>
      <c r="AW437" s="110"/>
      <c r="AX437" s="110"/>
      <c r="AY437" s="110"/>
      <c r="AZ437" s="110"/>
      <c r="BA437" s="110"/>
      <c r="BB437" s="110"/>
      <c r="BC437" s="110"/>
      <c r="BD437" s="110"/>
      <c r="BE437" s="110"/>
      <c r="BF437" s="110"/>
      <c r="BG437" s="110"/>
      <c r="BH437" s="110"/>
      <c r="BI437" s="110"/>
      <c r="BJ437" s="110"/>
      <c r="BK437" s="110"/>
      <c r="BL437" s="110"/>
      <c r="BM437" s="110"/>
      <c r="BN437" s="110"/>
      <c r="BO437" s="110"/>
      <c r="BP437" s="110"/>
      <c r="BQ437" s="110"/>
      <c r="BR437" s="110"/>
      <c r="BS437" s="110"/>
      <c r="BT437" s="110"/>
      <c r="BU437" s="110"/>
      <c r="BV437" s="110"/>
      <c r="BW437" s="110"/>
      <c r="BX437" s="110"/>
      <c r="BY437" s="110"/>
      <c r="BZ437" s="110"/>
      <c r="CA437" s="110"/>
      <c r="CB437" s="110"/>
      <c r="CC437" s="110"/>
    </row>
    <row r="438" spans="1:81" ht="12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  <c r="AW438" s="110"/>
      <c r="AX438" s="110"/>
      <c r="AY438" s="110"/>
      <c r="AZ438" s="110"/>
      <c r="BA438" s="110"/>
      <c r="BB438" s="110"/>
      <c r="BC438" s="110"/>
      <c r="BD438" s="110"/>
      <c r="BE438" s="110"/>
      <c r="BF438" s="110"/>
      <c r="BG438" s="110"/>
      <c r="BH438" s="110"/>
      <c r="BI438" s="110"/>
      <c r="BJ438" s="110"/>
      <c r="BK438" s="110"/>
      <c r="BL438" s="110"/>
      <c r="BM438" s="110"/>
      <c r="BN438" s="110"/>
      <c r="BO438" s="110"/>
      <c r="BP438" s="110"/>
      <c r="BQ438" s="110"/>
      <c r="BR438" s="110"/>
      <c r="BS438" s="110"/>
      <c r="BT438" s="110"/>
      <c r="BU438" s="110"/>
      <c r="BV438" s="110"/>
      <c r="BW438" s="110"/>
      <c r="BX438" s="110"/>
      <c r="BY438" s="110"/>
      <c r="BZ438" s="110"/>
      <c r="CA438" s="110"/>
      <c r="CB438" s="110"/>
      <c r="CC438" s="110"/>
    </row>
    <row r="439" spans="1:81" ht="12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  <c r="AV439" s="110"/>
      <c r="AW439" s="110"/>
      <c r="AX439" s="110"/>
      <c r="AY439" s="110"/>
      <c r="AZ439" s="110"/>
      <c r="BA439" s="110"/>
      <c r="BB439" s="110"/>
      <c r="BC439" s="110"/>
      <c r="BD439" s="110"/>
      <c r="BE439" s="110"/>
      <c r="BF439" s="110"/>
      <c r="BG439" s="110"/>
      <c r="BH439" s="110"/>
      <c r="BI439" s="110"/>
      <c r="BJ439" s="110"/>
      <c r="BK439" s="110"/>
      <c r="BL439" s="110"/>
      <c r="BM439" s="110"/>
      <c r="BN439" s="110"/>
      <c r="BO439" s="110"/>
      <c r="BP439" s="110"/>
      <c r="BQ439" s="110"/>
      <c r="BR439" s="110"/>
      <c r="BS439" s="110"/>
      <c r="BT439" s="110"/>
      <c r="BU439" s="110"/>
      <c r="BV439" s="110"/>
      <c r="BW439" s="110"/>
      <c r="BX439" s="110"/>
      <c r="BY439" s="110"/>
      <c r="BZ439" s="110"/>
      <c r="CA439" s="110"/>
      <c r="CB439" s="110"/>
      <c r="CC439" s="110"/>
    </row>
    <row r="440" spans="1:81" ht="12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  <c r="AV440" s="110"/>
      <c r="AW440" s="110"/>
      <c r="AX440" s="110"/>
      <c r="AY440" s="110"/>
      <c r="AZ440" s="110"/>
      <c r="BA440" s="110"/>
      <c r="BB440" s="110"/>
      <c r="BC440" s="110"/>
      <c r="BD440" s="110"/>
      <c r="BE440" s="110"/>
      <c r="BF440" s="110"/>
      <c r="BG440" s="110"/>
      <c r="BH440" s="110"/>
      <c r="BI440" s="110"/>
      <c r="BJ440" s="110"/>
      <c r="BK440" s="110"/>
      <c r="BL440" s="110"/>
      <c r="BM440" s="110"/>
      <c r="BN440" s="110"/>
      <c r="BO440" s="110"/>
      <c r="BP440" s="110"/>
      <c r="BQ440" s="110"/>
      <c r="BR440" s="110"/>
      <c r="BS440" s="110"/>
      <c r="BT440" s="110"/>
      <c r="BU440" s="110"/>
      <c r="BV440" s="110"/>
      <c r="BW440" s="110"/>
      <c r="BX440" s="110"/>
      <c r="BY440" s="110"/>
      <c r="BZ440" s="110"/>
      <c r="CA440" s="110"/>
      <c r="CB440" s="110"/>
      <c r="CC440" s="110"/>
    </row>
    <row r="441" spans="1:81" ht="12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  <c r="AV441" s="110"/>
      <c r="AW441" s="110"/>
      <c r="AX441" s="110"/>
      <c r="AY441" s="110"/>
      <c r="AZ441" s="110"/>
      <c r="BA441" s="110"/>
      <c r="BB441" s="110"/>
      <c r="BC441" s="110"/>
      <c r="BD441" s="110"/>
      <c r="BE441" s="110"/>
      <c r="BF441" s="110"/>
      <c r="BG441" s="110"/>
      <c r="BH441" s="110"/>
      <c r="BI441" s="110"/>
      <c r="BJ441" s="110"/>
      <c r="BK441" s="110"/>
      <c r="BL441" s="110"/>
      <c r="BM441" s="110"/>
      <c r="BN441" s="110"/>
      <c r="BO441" s="110"/>
      <c r="BP441" s="110"/>
      <c r="BQ441" s="110"/>
      <c r="BR441" s="110"/>
      <c r="BS441" s="110"/>
      <c r="BT441" s="110"/>
      <c r="BU441" s="110"/>
      <c r="BV441" s="110"/>
      <c r="BW441" s="110"/>
      <c r="BX441" s="110"/>
      <c r="BY441" s="110"/>
      <c r="BZ441" s="110"/>
      <c r="CA441" s="110"/>
      <c r="CB441" s="110"/>
      <c r="CC441" s="110"/>
    </row>
    <row r="442" spans="1:81" ht="12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  <c r="AV442" s="110"/>
      <c r="AW442" s="110"/>
      <c r="AX442" s="110"/>
      <c r="AY442" s="110"/>
      <c r="AZ442" s="110"/>
      <c r="BA442" s="110"/>
      <c r="BB442" s="110"/>
      <c r="BC442" s="110"/>
      <c r="BD442" s="110"/>
      <c r="BE442" s="110"/>
      <c r="BF442" s="110"/>
      <c r="BG442" s="110"/>
      <c r="BH442" s="110"/>
      <c r="BI442" s="110"/>
      <c r="BJ442" s="110"/>
      <c r="BK442" s="110"/>
      <c r="BL442" s="110"/>
      <c r="BM442" s="110"/>
      <c r="BN442" s="110"/>
      <c r="BO442" s="110"/>
      <c r="BP442" s="110"/>
      <c r="BQ442" s="110"/>
      <c r="BR442" s="110"/>
      <c r="BS442" s="110"/>
      <c r="BT442" s="110"/>
      <c r="BU442" s="110"/>
      <c r="BV442" s="110"/>
      <c r="BW442" s="110"/>
      <c r="BX442" s="110"/>
      <c r="BY442" s="110"/>
      <c r="BZ442" s="110"/>
      <c r="CA442" s="110"/>
      <c r="CB442" s="110"/>
      <c r="CC442" s="110"/>
    </row>
    <row r="443" spans="1:81" ht="12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  <c r="AV443" s="110"/>
      <c r="AW443" s="110"/>
      <c r="AX443" s="110"/>
      <c r="AY443" s="110"/>
      <c r="AZ443" s="110"/>
      <c r="BA443" s="110"/>
      <c r="BB443" s="110"/>
      <c r="BC443" s="110"/>
      <c r="BD443" s="110"/>
      <c r="BE443" s="110"/>
      <c r="BF443" s="110"/>
      <c r="BG443" s="110"/>
      <c r="BH443" s="110"/>
      <c r="BI443" s="110"/>
      <c r="BJ443" s="110"/>
      <c r="BK443" s="110"/>
      <c r="BL443" s="110"/>
      <c r="BM443" s="110"/>
      <c r="BN443" s="110"/>
      <c r="BO443" s="110"/>
      <c r="BP443" s="110"/>
      <c r="BQ443" s="110"/>
      <c r="BR443" s="110"/>
      <c r="BS443" s="110"/>
      <c r="BT443" s="110"/>
      <c r="BU443" s="110"/>
      <c r="BV443" s="110"/>
      <c r="BW443" s="110"/>
      <c r="BX443" s="110"/>
      <c r="BY443" s="110"/>
      <c r="BZ443" s="110"/>
      <c r="CA443" s="110"/>
      <c r="CB443" s="110"/>
      <c r="CC443" s="110"/>
    </row>
    <row r="444" spans="1:81" ht="12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  <c r="AV444" s="110"/>
      <c r="AW444" s="110"/>
      <c r="AX444" s="110"/>
      <c r="AY444" s="110"/>
      <c r="AZ444" s="110"/>
      <c r="BA444" s="110"/>
      <c r="BB444" s="110"/>
      <c r="BC444" s="110"/>
      <c r="BD444" s="110"/>
      <c r="BE444" s="110"/>
      <c r="BF444" s="110"/>
      <c r="BG444" s="110"/>
      <c r="BH444" s="110"/>
      <c r="BI444" s="110"/>
      <c r="BJ444" s="110"/>
      <c r="BK444" s="110"/>
      <c r="BL444" s="110"/>
      <c r="BM444" s="110"/>
      <c r="BN444" s="110"/>
      <c r="BO444" s="110"/>
      <c r="BP444" s="110"/>
      <c r="BQ444" s="110"/>
      <c r="BR444" s="110"/>
      <c r="BS444" s="110"/>
      <c r="BT444" s="110"/>
      <c r="BU444" s="110"/>
      <c r="BV444" s="110"/>
      <c r="BW444" s="110"/>
      <c r="BX444" s="110"/>
      <c r="BY444" s="110"/>
      <c r="BZ444" s="110"/>
      <c r="CA444" s="110"/>
      <c r="CB444" s="110"/>
      <c r="CC444" s="110"/>
    </row>
    <row r="445" spans="1:81" ht="12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  <c r="AV445" s="110"/>
      <c r="AW445" s="110"/>
      <c r="AX445" s="110"/>
      <c r="AY445" s="110"/>
      <c r="AZ445" s="110"/>
      <c r="BA445" s="110"/>
      <c r="BB445" s="110"/>
      <c r="BC445" s="110"/>
      <c r="BD445" s="110"/>
      <c r="BE445" s="110"/>
      <c r="BF445" s="110"/>
      <c r="BG445" s="110"/>
      <c r="BH445" s="110"/>
      <c r="BI445" s="110"/>
      <c r="BJ445" s="110"/>
      <c r="BK445" s="110"/>
      <c r="BL445" s="110"/>
      <c r="BM445" s="110"/>
      <c r="BN445" s="110"/>
      <c r="BO445" s="110"/>
      <c r="BP445" s="110"/>
      <c r="BQ445" s="110"/>
      <c r="BR445" s="110"/>
      <c r="BS445" s="110"/>
      <c r="BT445" s="110"/>
      <c r="BU445" s="110"/>
      <c r="BV445" s="110"/>
      <c r="BW445" s="110"/>
      <c r="BX445" s="110"/>
      <c r="BY445" s="110"/>
      <c r="BZ445" s="110"/>
      <c r="CA445" s="110"/>
      <c r="CB445" s="110"/>
      <c r="CC445" s="110"/>
    </row>
    <row r="446" spans="1:81" ht="12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  <c r="AW446" s="110"/>
      <c r="AX446" s="110"/>
      <c r="AY446" s="110"/>
      <c r="AZ446" s="110"/>
      <c r="BA446" s="110"/>
      <c r="BB446" s="110"/>
      <c r="BC446" s="110"/>
      <c r="BD446" s="110"/>
      <c r="BE446" s="110"/>
      <c r="BF446" s="110"/>
      <c r="BG446" s="110"/>
      <c r="BH446" s="110"/>
      <c r="BI446" s="110"/>
      <c r="BJ446" s="110"/>
      <c r="BK446" s="110"/>
      <c r="BL446" s="110"/>
      <c r="BM446" s="110"/>
      <c r="BN446" s="110"/>
      <c r="BO446" s="110"/>
      <c r="BP446" s="110"/>
      <c r="BQ446" s="110"/>
      <c r="BR446" s="110"/>
      <c r="BS446" s="110"/>
      <c r="BT446" s="110"/>
      <c r="BU446" s="110"/>
      <c r="BV446" s="110"/>
      <c r="BW446" s="110"/>
      <c r="BX446" s="110"/>
      <c r="BY446" s="110"/>
      <c r="BZ446" s="110"/>
      <c r="CA446" s="110"/>
      <c r="CB446" s="110"/>
      <c r="CC446" s="110"/>
    </row>
    <row r="447" spans="1:81" ht="12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  <c r="AV447" s="110"/>
      <c r="AW447" s="110"/>
      <c r="AX447" s="110"/>
      <c r="AY447" s="110"/>
      <c r="AZ447" s="110"/>
      <c r="BA447" s="110"/>
      <c r="BB447" s="110"/>
      <c r="BC447" s="110"/>
      <c r="BD447" s="110"/>
      <c r="BE447" s="110"/>
      <c r="BF447" s="110"/>
      <c r="BG447" s="110"/>
      <c r="BH447" s="110"/>
      <c r="BI447" s="110"/>
      <c r="BJ447" s="110"/>
      <c r="BK447" s="110"/>
      <c r="BL447" s="110"/>
      <c r="BM447" s="110"/>
      <c r="BN447" s="110"/>
      <c r="BO447" s="110"/>
      <c r="BP447" s="110"/>
      <c r="BQ447" s="110"/>
      <c r="BR447" s="110"/>
      <c r="BS447" s="110"/>
      <c r="BT447" s="110"/>
      <c r="BU447" s="110"/>
      <c r="BV447" s="110"/>
      <c r="BW447" s="110"/>
      <c r="BX447" s="110"/>
      <c r="BY447" s="110"/>
      <c r="BZ447" s="110"/>
      <c r="CA447" s="110"/>
      <c r="CB447" s="110"/>
      <c r="CC447" s="110"/>
    </row>
    <row r="448" spans="1:81" ht="12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  <c r="AV448" s="110"/>
      <c r="AW448" s="110"/>
      <c r="AX448" s="110"/>
      <c r="AY448" s="110"/>
      <c r="AZ448" s="110"/>
      <c r="BA448" s="110"/>
      <c r="BB448" s="110"/>
      <c r="BC448" s="110"/>
      <c r="BD448" s="110"/>
      <c r="BE448" s="110"/>
      <c r="BF448" s="110"/>
      <c r="BG448" s="110"/>
      <c r="BH448" s="110"/>
      <c r="BI448" s="110"/>
      <c r="BJ448" s="110"/>
      <c r="BK448" s="110"/>
      <c r="BL448" s="110"/>
      <c r="BM448" s="110"/>
      <c r="BN448" s="110"/>
      <c r="BO448" s="110"/>
      <c r="BP448" s="110"/>
      <c r="BQ448" s="110"/>
      <c r="BR448" s="110"/>
      <c r="BS448" s="110"/>
      <c r="BT448" s="110"/>
      <c r="BU448" s="110"/>
      <c r="BV448" s="110"/>
      <c r="BW448" s="110"/>
      <c r="BX448" s="110"/>
      <c r="BY448" s="110"/>
      <c r="BZ448" s="110"/>
      <c r="CA448" s="110"/>
      <c r="CB448" s="110"/>
      <c r="CC448" s="110"/>
    </row>
    <row r="449" spans="1:81" ht="12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  <c r="AV449" s="110"/>
      <c r="AW449" s="110"/>
      <c r="AX449" s="110"/>
      <c r="AY449" s="110"/>
      <c r="AZ449" s="110"/>
      <c r="BA449" s="110"/>
      <c r="BB449" s="110"/>
      <c r="BC449" s="110"/>
      <c r="BD449" s="110"/>
      <c r="BE449" s="110"/>
      <c r="BF449" s="110"/>
      <c r="BG449" s="110"/>
      <c r="BH449" s="110"/>
      <c r="BI449" s="110"/>
      <c r="BJ449" s="110"/>
      <c r="BK449" s="110"/>
      <c r="BL449" s="110"/>
      <c r="BM449" s="110"/>
      <c r="BN449" s="110"/>
      <c r="BO449" s="110"/>
      <c r="BP449" s="110"/>
      <c r="BQ449" s="110"/>
      <c r="BR449" s="110"/>
      <c r="BS449" s="110"/>
      <c r="BT449" s="110"/>
      <c r="BU449" s="110"/>
      <c r="BV449" s="110"/>
      <c r="BW449" s="110"/>
      <c r="BX449" s="110"/>
      <c r="BY449" s="110"/>
      <c r="BZ449" s="110"/>
      <c r="CA449" s="110"/>
      <c r="CB449" s="110"/>
      <c r="CC449" s="110"/>
    </row>
    <row r="450" spans="1:81" ht="12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  <c r="AV450" s="110"/>
      <c r="AW450" s="110"/>
      <c r="AX450" s="110"/>
      <c r="AY450" s="110"/>
      <c r="AZ450" s="110"/>
      <c r="BA450" s="110"/>
      <c r="BB450" s="110"/>
      <c r="BC450" s="110"/>
      <c r="BD450" s="110"/>
      <c r="BE450" s="110"/>
      <c r="BF450" s="110"/>
      <c r="BG450" s="110"/>
      <c r="BH450" s="110"/>
      <c r="BI450" s="110"/>
      <c r="BJ450" s="110"/>
      <c r="BK450" s="110"/>
      <c r="BL450" s="110"/>
      <c r="BM450" s="110"/>
      <c r="BN450" s="110"/>
      <c r="BO450" s="110"/>
      <c r="BP450" s="110"/>
      <c r="BQ450" s="110"/>
      <c r="BR450" s="110"/>
      <c r="BS450" s="110"/>
      <c r="BT450" s="110"/>
      <c r="BU450" s="110"/>
      <c r="BV450" s="110"/>
      <c r="BW450" s="110"/>
      <c r="BX450" s="110"/>
      <c r="BY450" s="110"/>
      <c r="BZ450" s="110"/>
      <c r="CA450" s="110"/>
      <c r="CB450" s="110"/>
      <c r="CC450" s="110"/>
    </row>
    <row r="451" spans="1:81" ht="12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  <c r="AV451" s="110"/>
      <c r="AW451" s="110"/>
      <c r="AX451" s="110"/>
      <c r="AY451" s="110"/>
      <c r="AZ451" s="110"/>
      <c r="BA451" s="110"/>
      <c r="BB451" s="110"/>
      <c r="BC451" s="110"/>
      <c r="BD451" s="110"/>
      <c r="BE451" s="110"/>
      <c r="BF451" s="110"/>
      <c r="BG451" s="110"/>
      <c r="BH451" s="110"/>
      <c r="BI451" s="110"/>
      <c r="BJ451" s="110"/>
      <c r="BK451" s="110"/>
      <c r="BL451" s="110"/>
      <c r="BM451" s="110"/>
      <c r="BN451" s="110"/>
      <c r="BO451" s="110"/>
      <c r="BP451" s="110"/>
      <c r="BQ451" s="110"/>
      <c r="BR451" s="110"/>
      <c r="BS451" s="110"/>
      <c r="BT451" s="110"/>
      <c r="BU451" s="110"/>
      <c r="BV451" s="110"/>
      <c r="BW451" s="110"/>
      <c r="BX451" s="110"/>
      <c r="BY451" s="110"/>
      <c r="BZ451" s="110"/>
      <c r="CA451" s="110"/>
      <c r="CB451" s="110"/>
      <c r="CC451" s="110"/>
    </row>
    <row r="452" spans="1:81" ht="12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  <c r="AV452" s="110"/>
      <c r="AW452" s="110"/>
      <c r="AX452" s="110"/>
      <c r="AY452" s="110"/>
      <c r="AZ452" s="110"/>
      <c r="BA452" s="110"/>
      <c r="BB452" s="110"/>
      <c r="BC452" s="110"/>
      <c r="BD452" s="110"/>
      <c r="BE452" s="110"/>
      <c r="BF452" s="110"/>
      <c r="BG452" s="110"/>
      <c r="BH452" s="110"/>
      <c r="BI452" s="110"/>
      <c r="BJ452" s="110"/>
      <c r="BK452" s="110"/>
      <c r="BL452" s="110"/>
      <c r="BM452" s="110"/>
      <c r="BN452" s="110"/>
      <c r="BO452" s="110"/>
      <c r="BP452" s="110"/>
      <c r="BQ452" s="110"/>
      <c r="BR452" s="110"/>
      <c r="BS452" s="110"/>
      <c r="BT452" s="110"/>
      <c r="BU452" s="110"/>
      <c r="BV452" s="110"/>
      <c r="BW452" s="110"/>
      <c r="BX452" s="110"/>
      <c r="BY452" s="110"/>
      <c r="BZ452" s="110"/>
      <c r="CA452" s="110"/>
      <c r="CB452" s="110"/>
      <c r="CC452" s="110"/>
    </row>
    <row r="453" spans="1:81" ht="12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  <c r="AV453" s="110"/>
      <c r="AW453" s="110"/>
      <c r="AX453" s="110"/>
      <c r="AY453" s="110"/>
      <c r="AZ453" s="110"/>
      <c r="BA453" s="110"/>
      <c r="BB453" s="110"/>
      <c r="BC453" s="110"/>
      <c r="BD453" s="110"/>
      <c r="BE453" s="110"/>
      <c r="BF453" s="110"/>
      <c r="BG453" s="110"/>
      <c r="BH453" s="110"/>
      <c r="BI453" s="110"/>
      <c r="BJ453" s="110"/>
      <c r="BK453" s="110"/>
      <c r="BL453" s="110"/>
      <c r="BM453" s="110"/>
      <c r="BN453" s="110"/>
      <c r="BO453" s="110"/>
      <c r="BP453" s="110"/>
      <c r="BQ453" s="110"/>
      <c r="BR453" s="110"/>
      <c r="BS453" s="110"/>
      <c r="BT453" s="110"/>
      <c r="BU453" s="110"/>
      <c r="BV453" s="110"/>
      <c r="BW453" s="110"/>
      <c r="BX453" s="110"/>
      <c r="BY453" s="110"/>
      <c r="BZ453" s="110"/>
      <c r="CA453" s="110"/>
      <c r="CB453" s="110"/>
      <c r="CC453" s="110"/>
    </row>
    <row r="454" spans="1:81" ht="12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  <c r="AV454" s="110"/>
      <c r="AW454" s="110"/>
      <c r="AX454" s="110"/>
      <c r="AY454" s="110"/>
      <c r="AZ454" s="110"/>
      <c r="BA454" s="110"/>
      <c r="BB454" s="110"/>
      <c r="BC454" s="110"/>
      <c r="BD454" s="110"/>
      <c r="BE454" s="110"/>
      <c r="BF454" s="110"/>
      <c r="BG454" s="110"/>
      <c r="BH454" s="110"/>
      <c r="BI454" s="110"/>
      <c r="BJ454" s="110"/>
      <c r="BK454" s="110"/>
      <c r="BL454" s="110"/>
      <c r="BM454" s="110"/>
      <c r="BN454" s="110"/>
      <c r="BO454" s="110"/>
      <c r="BP454" s="110"/>
      <c r="BQ454" s="110"/>
      <c r="BR454" s="110"/>
      <c r="BS454" s="110"/>
      <c r="BT454" s="110"/>
      <c r="BU454" s="110"/>
      <c r="BV454" s="110"/>
      <c r="BW454" s="110"/>
      <c r="BX454" s="110"/>
      <c r="BY454" s="110"/>
      <c r="BZ454" s="110"/>
      <c r="CA454" s="110"/>
      <c r="CB454" s="110"/>
      <c r="CC454" s="110"/>
    </row>
    <row r="455" spans="1:81" ht="12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  <c r="AV455" s="110"/>
      <c r="AW455" s="110"/>
      <c r="AX455" s="110"/>
      <c r="AY455" s="110"/>
      <c r="AZ455" s="110"/>
      <c r="BA455" s="110"/>
      <c r="BB455" s="110"/>
      <c r="BC455" s="110"/>
      <c r="BD455" s="110"/>
      <c r="BE455" s="110"/>
      <c r="BF455" s="110"/>
      <c r="BG455" s="110"/>
      <c r="BH455" s="110"/>
      <c r="BI455" s="110"/>
      <c r="BJ455" s="110"/>
      <c r="BK455" s="110"/>
      <c r="BL455" s="110"/>
      <c r="BM455" s="110"/>
      <c r="BN455" s="110"/>
      <c r="BO455" s="110"/>
      <c r="BP455" s="110"/>
      <c r="BQ455" s="110"/>
      <c r="BR455" s="110"/>
      <c r="BS455" s="110"/>
      <c r="BT455" s="110"/>
      <c r="BU455" s="110"/>
      <c r="BV455" s="110"/>
      <c r="BW455" s="110"/>
      <c r="BX455" s="110"/>
      <c r="BY455" s="110"/>
      <c r="BZ455" s="110"/>
      <c r="CA455" s="110"/>
      <c r="CB455" s="110"/>
      <c r="CC455" s="110"/>
    </row>
    <row r="456" spans="1:81" ht="12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  <c r="AV456" s="110"/>
      <c r="AW456" s="110"/>
      <c r="AX456" s="110"/>
      <c r="AY456" s="110"/>
      <c r="AZ456" s="110"/>
      <c r="BA456" s="110"/>
      <c r="BB456" s="110"/>
      <c r="BC456" s="110"/>
      <c r="BD456" s="110"/>
      <c r="BE456" s="110"/>
      <c r="BF456" s="110"/>
      <c r="BG456" s="110"/>
      <c r="BH456" s="110"/>
      <c r="BI456" s="110"/>
      <c r="BJ456" s="110"/>
      <c r="BK456" s="110"/>
      <c r="BL456" s="110"/>
      <c r="BM456" s="110"/>
      <c r="BN456" s="110"/>
      <c r="BO456" s="110"/>
      <c r="BP456" s="110"/>
      <c r="BQ456" s="110"/>
      <c r="BR456" s="110"/>
      <c r="BS456" s="110"/>
      <c r="BT456" s="110"/>
      <c r="BU456" s="110"/>
      <c r="BV456" s="110"/>
      <c r="BW456" s="110"/>
      <c r="BX456" s="110"/>
      <c r="BY456" s="110"/>
      <c r="BZ456" s="110"/>
      <c r="CA456" s="110"/>
      <c r="CB456" s="110"/>
      <c r="CC456" s="110"/>
    </row>
    <row r="457" spans="1:81" ht="12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  <c r="AV457" s="110"/>
      <c r="AW457" s="110"/>
      <c r="AX457" s="110"/>
      <c r="AY457" s="110"/>
      <c r="AZ457" s="110"/>
      <c r="BA457" s="110"/>
      <c r="BB457" s="110"/>
      <c r="BC457" s="110"/>
      <c r="BD457" s="110"/>
      <c r="BE457" s="110"/>
      <c r="BF457" s="110"/>
      <c r="BG457" s="110"/>
      <c r="BH457" s="110"/>
      <c r="BI457" s="110"/>
      <c r="BJ457" s="110"/>
      <c r="BK457" s="110"/>
      <c r="BL457" s="110"/>
      <c r="BM457" s="110"/>
      <c r="BN457" s="110"/>
      <c r="BO457" s="110"/>
      <c r="BP457" s="110"/>
      <c r="BQ457" s="110"/>
      <c r="BR457" s="110"/>
      <c r="BS457" s="110"/>
      <c r="BT457" s="110"/>
      <c r="BU457" s="110"/>
      <c r="BV457" s="110"/>
      <c r="BW457" s="110"/>
      <c r="BX457" s="110"/>
      <c r="BY457" s="110"/>
      <c r="BZ457" s="110"/>
      <c r="CA457" s="110"/>
      <c r="CB457" s="110"/>
      <c r="CC457" s="110"/>
    </row>
    <row r="458" spans="1:81" ht="12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  <c r="AV458" s="110"/>
      <c r="AW458" s="110"/>
      <c r="AX458" s="110"/>
      <c r="AY458" s="110"/>
      <c r="AZ458" s="110"/>
      <c r="BA458" s="110"/>
      <c r="BB458" s="110"/>
      <c r="BC458" s="110"/>
      <c r="BD458" s="110"/>
      <c r="BE458" s="110"/>
      <c r="BF458" s="110"/>
      <c r="BG458" s="110"/>
      <c r="BH458" s="110"/>
      <c r="BI458" s="110"/>
      <c r="BJ458" s="110"/>
      <c r="BK458" s="110"/>
      <c r="BL458" s="110"/>
      <c r="BM458" s="110"/>
      <c r="BN458" s="110"/>
      <c r="BO458" s="110"/>
      <c r="BP458" s="110"/>
      <c r="BQ458" s="110"/>
      <c r="BR458" s="110"/>
      <c r="BS458" s="110"/>
      <c r="BT458" s="110"/>
      <c r="BU458" s="110"/>
      <c r="BV458" s="110"/>
      <c r="BW458" s="110"/>
      <c r="BX458" s="110"/>
      <c r="BY458" s="110"/>
      <c r="BZ458" s="110"/>
      <c r="CA458" s="110"/>
      <c r="CB458" s="110"/>
      <c r="CC458" s="110"/>
    </row>
    <row r="459" spans="1:81" ht="12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  <c r="AW459" s="110"/>
      <c r="AX459" s="110"/>
      <c r="AY459" s="110"/>
      <c r="AZ459" s="110"/>
      <c r="BA459" s="110"/>
      <c r="BB459" s="110"/>
      <c r="BC459" s="110"/>
      <c r="BD459" s="110"/>
      <c r="BE459" s="110"/>
      <c r="BF459" s="110"/>
      <c r="BG459" s="110"/>
      <c r="BH459" s="110"/>
      <c r="BI459" s="110"/>
      <c r="BJ459" s="110"/>
      <c r="BK459" s="110"/>
      <c r="BL459" s="110"/>
      <c r="BM459" s="110"/>
      <c r="BN459" s="110"/>
      <c r="BO459" s="110"/>
      <c r="BP459" s="110"/>
      <c r="BQ459" s="110"/>
      <c r="BR459" s="110"/>
      <c r="BS459" s="110"/>
      <c r="BT459" s="110"/>
      <c r="BU459" s="110"/>
      <c r="BV459" s="110"/>
      <c r="BW459" s="110"/>
      <c r="BX459" s="110"/>
      <c r="BY459" s="110"/>
      <c r="BZ459" s="110"/>
      <c r="CA459" s="110"/>
      <c r="CB459" s="110"/>
      <c r="CC459" s="110"/>
    </row>
    <row r="460" spans="1:81" ht="12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  <c r="AV460" s="110"/>
      <c r="AW460" s="110"/>
      <c r="AX460" s="110"/>
      <c r="AY460" s="110"/>
      <c r="AZ460" s="110"/>
      <c r="BA460" s="110"/>
      <c r="BB460" s="110"/>
      <c r="BC460" s="110"/>
      <c r="BD460" s="110"/>
      <c r="BE460" s="110"/>
      <c r="BF460" s="110"/>
      <c r="BG460" s="110"/>
      <c r="BH460" s="110"/>
      <c r="BI460" s="110"/>
      <c r="BJ460" s="110"/>
      <c r="BK460" s="110"/>
      <c r="BL460" s="110"/>
      <c r="BM460" s="110"/>
      <c r="BN460" s="110"/>
      <c r="BO460" s="110"/>
      <c r="BP460" s="110"/>
      <c r="BQ460" s="110"/>
      <c r="BR460" s="110"/>
      <c r="BS460" s="110"/>
      <c r="BT460" s="110"/>
      <c r="BU460" s="110"/>
      <c r="BV460" s="110"/>
      <c r="BW460" s="110"/>
      <c r="BX460" s="110"/>
      <c r="BY460" s="110"/>
      <c r="BZ460" s="110"/>
      <c r="CA460" s="110"/>
      <c r="CB460" s="110"/>
      <c r="CC460" s="110"/>
    </row>
    <row r="461" spans="1:81" ht="12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  <c r="AV461" s="110"/>
      <c r="AW461" s="110"/>
      <c r="AX461" s="110"/>
      <c r="AY461" s="110"/>
      <c r="AZ461" s="110"/>
      <c r="BA461" s="110"/>
      <c r="BB461" s="110"/>
      <c r="BC461" s="110"/>
      <c r="BD461" s="110"/>
      <c r="BE461" s="110"/>
      <c r="BF461" s="110"/>
      <c r="BG461" s="110"/>
      <c r="BH461" s="110"/>
      <c r="BI461" s="110"/>
      <c r="BJ461" s="110"/>
      <c r="BK461" s="110"/>
      <c r="BL461" s="110"/>
      <c r="BM461" s="110"/>
      <c r="BN461" s="110"/>
      <c r="BO461" s="110"/>
      <c r="BP461" s="110"/>
      <c r="BQ461" s="110"/>
      <c r="BR461" s="110"/>
      <c r="BS461" s="110"/>
      <c r="BT461" s="110"/>
      <c r="BU461" s="110"/>
      <c r="BV461" s="110"/>
      <c r="BW461" s="110"/>
      <c r="BX461" s="110"/>
      <c r="BY461" s="110"/>
      <c r="BZ461" s="110"/>
      <c r="CA461" s="110"/>
      <c r="CB461" s="110"/>
      <c r="CC461" s="110"/>
    </row>
    <row r="462" spans="1:81" ht="12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  <c r="AV462" s="110"/>
      <c r="AW462" s="110"/>
      <c r="AX462" s="110"/>
      <c r="AY462" s="110"/>
      <c r="AZ462" s="110"/>
      <c r="BA462" s="110"/>
      <c r="BB462" s="110"/>
      <c r="BC462" s="110"/>
      <c r="BD462" s="110"/>
      <c r="BE462" s="110"/>
      <c r="BF462" s="110"/>
      <c r="BG462" s="110"/>
      <c r="BH462" s="110"/>
      <c r="BI462" s="110"/>
      <c r="BJ462" s="110"/>
      <c r="BK462" s="110"/>
      <c r="BL462" s="110"/>
      <c r="BM462" s="110"/>
      <c r="BN462" s="110"/>
      <c r="BO462" s="110"/>
      <c r="BP462" s="110"/>
      <c r="BQ462" s="110"/>
      <c r="BR462" s="110"/>
      <c r="BS462" s="110"/>
      <c r="BT462" s="110"/>
      <c r="BU462" s="110"/>
      <c r="BV462" s="110"/>
      <c r="BW462" s="110"/>
      <c r="BX462" s="110"/>
      <c r="BY462" s="110"/>
      <c r="BZ462" s="110"/>
      <c r="CA462" s="110"/>
      <c r="CB462" s="110"/>
      <c r="CC462" s="110"/>
    </row>
    <row r="463" spans="1:81" ht="12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  <c r="AV463" s="110"/>
      <c r="AW463" s="110"/>
      <c r="AX463" s="110"/>
      <c r="AY463" s="110"/>
      <c r="AZ463" s="110"/>
      <c r="BA463" s="110"/>
      <c r="BB463" s="110"/>
      <c r="BC463" s="110"/>
      <c r="BD463" s="110"/>
      <c r="BE463" s="110"/>
      <c r="BF463" s="110"/>
      <c r="BG463" s="110"/>
      <c r="BH463" s="110"/>
      <c r="BI463" s="110"/>
      <c r="BJ463" s="110"/>
      <c r="BK463" s="110"/>
      <c r="BL463" s="110"/>
      <c r="BM463" s="110"/>
      <c r="BN463" s="110"/>
      <c r="BO463" s="110"/>
      <c r="BP463" s="110"/>
      <c r="BQ463" s="110"/>
      <c r="BR463" s="110"/>
      <c r="BS463" s="110"/>
      <c r="BT463" s="110"/>
      <c r="BU463" s="110"/>
      <c r="BV463" s="110"/>
      <c r="BW463" s="110"/>
      <c r="BX463" s="110"/>
      <c r="BY463" s="110"/>
      <c r="BZ463" s="110"/>
      <c r="CA463" s="110"/>
      <c r="CB463" s="110"/>
      <c r="CC463" s="110"/>
    </row>
    <row r="464" spans="1:81" ht="12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  <c r="AV464" s="110"/>
      <c r="AW464" s="110"/>
      <c r="AX464" s="110"/>
      <c r="AY464" s="110"/>
      <c r="AZ464" s="110"/>
      <c r="BA464" s="110"/>
      <c r="BB464" s="110"/>
      <c r="BC464" s="110"/>
      <c r="BD464" s="110"/>
      <c r="BE464" s="110"/>
      <c r="BF464" s="110"/>
      <c r="BG464" s="110"/>
      <c r="BH464" s="110"/>
      <c r="BI464" s="110"/>
      <c r="BJ464" s="110"/>
      <c r="BK464" s="110"/>
      <c r="BL464" s="110"/>
      <c r="BM464" s="110"/>
      <c r="BN464" s="110"/>
      <c r="BO464" s="110"/>
      <c r="BP464" s="110"/>
      <c r="BQ464" s="110"/>
      <c r="BR464" s="110"/>
      <c r="BS464" s="110"/>
      <c r="BT464" s="110"/>
      <c r="BU464" s="110"/>
      <c r="BV464" s="110"/>
      <c r="BW464" s="110"/>
      <c r="BX464" s="110"/>
      <c r="BY464" s="110"/>
      <c r="BZ464" s="110"/>
      <c r="CA464" s="110"/>
      <c r="CB464" s="110"/>
      <c r="CC464" s="110"/>
    </row>
    <row r="465" spans="1:81" ht="12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  <c r="AV465" s="110"/>
      <c r="AW465" s="110"/>
      <c r="AX465" s="110"/>
      <c r="AY465" s="110"/>
      <c r="AZ465" s="110"/>
      <c r="BA465" s="110"/>
      <c r="BB465" s="110"/>
      <c r="BC465" s="110"/>
      <c r="BD465" s="110"/>
      <c r="BE465" s="110"/>
      <c r="BF465" s="110"/>
      <c r="BG465" s="110"/>
      <c r="BH465" s="110"/>
      <c r="BI465" s="110"/>
      <c r="BJ465" s="110"/>
      <c r="BK465" s="110"/>
      <c r="BL465" s="110"/>
      <c r="BM465" s="110"/>
      <c r="BN465" s="110"/>
      <c r="BO465" s="110"/>
      <c r="BP465" s="110"/>
      <c r="BQ465" s="110"/>
      <c r="BR465" s="110"/>
      <c r="BS465" s="110"/>
      <c r="BT465" s="110"/>
      <c r="BU465" s="110"/>
      <c r="BV465" s="110"/>
      <c r="BW465" s="110"/>
      <c r="BX465" s="110"/>
      <c r="BY465" s="110"/>
      <c r="BZ465" s="110"/>
      <c r="CA465" s="110"/>
      <c r="CB465" s="110"/>
      <c r="CC465" s="110"/>
    </row>
    <row r="466" spans="1:81" ht="12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  <c r="AV466" s="110"/>
      <c r="AW466" s="110"/>
      <c r="AX466" s="110"/>
      <c r="AY466" s="110"/>
      <c r="AZ466" s="110"/>
      <c r="BA466" s="110"/>
      <c r="BB466" s="110"/>
      <c r="BC466" s="110"/>
      <c r="BD466" s="110"/>
      <c r="BE466" s="110"/>
      <c r="BF466" s="110"/>
      <c r="BG466" s="110"/>
      <c r="BH466" s="110"/>
      <c r="BI466" s="110"/>
      <c r="BJ466" s="110"/>
      <c r="BK466" s="110"/>
      <c r="BL466" s="110"/>
      <c r="BM466" s="110"/>
      <c r="BN466" s="110"/>
      <c r="BO466" s="110"/>
      <c r="BP466" s="110"/>
      <c r="BQ466" s="110"/>
      <c r="BR466" s="110"/>
      <c r="BS466" s="110"/>
      <c r="BT466" s="110"/>
      <c r="BU466" s="110"/>
      <c r="BV466" s="110"/>
      <c r="BW466" s="110"/>
      <c r="BX466" s="110"/>
      <c r="BY466" s="110"/>
      <c r="BZ466" s="110"/>
      <c r="CA466" s="110"/>
      <c r="CB466" s="110"/>
      <c r="CC466" s="110"/>
    </row>
    <row r="467" spans="1:81" ht="12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  <c r="AV467" s="110"/>
      <c r="AW467" s="110"/>
      <c r="AX467" s="110"/>
      <c r="AY467" s="110"/>
      <c r="AZ467" s="110"/>
      <c r="BA467" s="110"/>
      <c r="BB467" s="110"/>
      <c r="BC467" s="110"/>
      <c r="BD467" s="110"/>
      <c r="BE467" s="110"/>
      <c r="BF467" s="110"/>
      <c r="BG467" s="110"/>
      <c r="BH467" s="110"/>
      <c r="BI467" s="110"/>
      <c r="BJ467" s="110"/>
      <c r="BK467" s="110"/>
      <c r="BL467" s="110"/>
      <c r="BM467" s="110"/>
      <c r="BN467" s="110"/>
      <c r="BO467" s="110"/>
      <c r="BP467" s="110"/>
      <c r="BQ467" s="110"/>
      <c r="BR467" s="110"/>
      <c r="BS467" s="110"/>
      <c r="BT467" s="110"/>
      <c r="BU467" s="110"/>
      <c r="BV467" s="110"/>
      <c r="BW467" s="110"/>
      <c r="BX467" s="110"/>
      <c r="BY467" s="110"/>
      <c r="BZ467" s="110"/>
      <c r="CA467" s="110"/>
      <c r="CB467" s="110"/>
      <c r="CC467" s="110"/>
    </row>
    <row r="468" spans="1:81" ht="12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  <c r="AV468" s="110"/>
      <c r="AW468" s="110"/>
      <c r="AX468" s="110"/>
      <c r="AY468" s="110"/>
      <c r="AZ468" s="110"/>
      <c r="BA468" s="110"/>
      <c r="BB468" s="110"/>
      <c r="BC468" s="110"/>
      <c r="BD468" s="110"/>
      <c r="BE468" s="110"/>
      <c r="BF468" s="110"/>
      <c r="BG468" s="110"/>
      <c r="BH468" s="110"/>
      <c r="BI468" s="110"/>
      <c r="BJ468" s="110"/>
      <c r="BK468" s="110"/>
      <c r="BL468" s="110"/>
      <c r="BM468" s="110"/>
      <c r="BN468" s="110"/>
      <c r="BO468" s="110"/>
      <c r="BP468" s="110"/>
      <c r="BQ468" s="110"/>
      <c r="BR468" s="110"/>
      <c r="BS468" s="110"/>
      <c r="BT468" s="110"/>
      <c r="BU468" s="110"/>
      <c r="BV468" s="110"/>
      <c r="BW468" s="110"/>
      <c r="BX468" s="110"/>
      <c r="BY468" s="110"/>
      <c r="BZ468" s="110"/>
      <c r="CA468" s="110"/>
      <c r="CB468" s="110"/>
      <c r="CC468" s="110"/>
    </row>
    <row r="469" spans="1:81" ht="12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  <c r="AV469" s="110"/>
      <c r="AW469" s="110"/>
      <c r="AX469" s="110"/>
      <c r="AY469" s="110"/>
      <c r="AZ469" s="110"/>
      <c r="BA469" s="110"/>
      <c r="BB469" s="110"/>
      <c r="BC469" s="110"/>
      <c r="BD469" s="110"/>
      <c r="BE469" s="110"/>
      <c r="BF469" s="110"/>
      <c r="BG469" s="110"/>
      <c r="BH469" s="110"/>
      <c r="BI469" s="110"/>
      <c r="BJ469" s="110"/>
      <c r="BK469" s="110"/>
      <c r="BL469" s="110"/>
      <c r="BM469" s="110"/>
      <c r="BN469" s="110"/>
      <c r="BO469" s="110"/>
      <c r="BP469" s="110"/>
      <c r="BQ469" s="110"/>
      <c r="BR469" s="110"/>
      <c r="BS469" s="110"/>
      <c r="BT469" s="110"/>
      <c r="BU469" s="110"/>
      <c r="BV469" s="110"/>
      <c r="BW469" s="110"/>
      <c r="BX469" s="110"/>
      <c r="BY469" s="110"/>
      <c r="BZ469" s="110"/>
      <c r="CA469" s="110"/>
      <c r="CB469" s="110"/>
      <c r="CC469" s="110"/>
    </row>
    <row r="470" spans="1:81" ht="12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  <c r="AV470" s="110"/>
      <c r="AW470" s="110"/>
      <c r="AX470" s="110"/>
      <c r="AY470" s="110"/>
      <c r="AZ470" s="110"/>
      <c r="BA470" s="110"/>
      <c r="BB470" s="110"/>
      <c r="BC470" s="110"/>
      <c r="BD470" s="110"/>
      <c r="BE470" s="110"/>
      <c r="BF470" s="110"/>
      <c r="BG470" s="110"/>
      <c r="BH470" s="110"/>
      <c r="BI470" s="110"/>
      <c r="BJ470" s="110"/>
      <c r="BK470" s="110"/>
      <c r="BL470" s="110"/>
      <c r="BM470" s="110"/>
      <c r="BN470" s="110"/>
      <c r="BO470" s="110"/>
      <c r="BP470" s="110"/>
      <c r="BQ470" s="110"/>
      <c r="BR470" s="110"/>
      <c r="BS470" s="110"/>
      <c r="BT470" s="110"/>
      <c r="BU470" s="110"/>
      <c r="BV470" s="110"/>
      <c r="BW470" s="110"/>
      <c r="BX470" s="110"/>
      <c r="BY470" s="110"/>
      <c r="BZ470" s="110"/>
      <c r="CA470" s="110"/>
      <c r="CB470" s="110"/>
      <c r="CC470" s="110"/>
    </row>
    <row r="471" spans="1:81" ht="12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  <c r="AW471" s="110"/>
      <c r="AX471" s="110"/>
      <c r="AY471" s="110"/>
      <c r="AZ471" s="110"/>
      <c r="BA471" s="110"/>
      <c r="BB471" s="110"/>
      <c r="BC471" s="110"/>
      <c r="BD471" s="110"/>
      <c r="BE471" s="110"/>
      <c r="BF471" s="110"/>
      <c r="BG471" s="110"/>
      <c r="BH471" s="110"/>
      <c r="BI471" s="110"/>
      <c r="BJ471" s="110"/>
      <c r="BK471" s="110"/>
      <c r="BL471" s="110"/>
      <c r="BM471" s="110"/>
      <c r="BN471" s="110"/>
      <c r="BO471" s="110"/>
      <c r="BP471" s="110"/>
      <c r="BQ471" s="110"/>
      <c r="BR471" s="110"/>
      <c r="BS471" s="110"/>
      <c r="BT471" s="110"/>
      <c r="BU471" s="110"/>
      <c r="BV471" s="110"/>
      <c r="BW471" s="110"/>
      <c r="BX471" s="110"/>
      <c r="BY471" s="110"/>
      <c r="BZ471" s="110"/>
      <c r="CA471" s="110"/>
      <c r="CB471" s="110"/>
      <c r="CC471" s="110"/>
    </row>
    <row r="472" spans="1:81" ht="12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  <c r="AV472" s="110"/>
      <c r="AW472" s="110"/>
      <c r="AX472" s="110"/>
      <c r="AY472" s="110"/>
      <c r="AZ472" s="110"/>
      <c r="BA472" s="110"/>
      <c r="BB472" s="110"/>
      <c r="BC472" s="110"/>
      <c r="BD472" s="110"/>
      <c r="BE472" s="110"/>
      <c r="BF472" s="110"/>
      <c r="BG472" s="110"/>
      <c r="BH472" s="110"/>
      <c r="BI472" s="110"/>
      <c r="BJ472" s="110"/>
      <c r="BK472" s="110"/>
      <c r="BL472" s="110"/>
      <c r="BM472" s="110"/>
      <c r="BN472" s="110"/>
      <c r="BO472" s="110"/>
      <c r="BP472" s="110"/>
      <c r="BQ472" s="110"/>
      <c r="BR472" s="110"/>
      <c r="BS472" s="110"/>
      <c r="BT472" s="110"/>
      <c r="BU472" s="110"/>
      <c r="BV472" s="110"/>
      <c r="BW472" s="110"/>
      <c r="BX472" s="110"/>
      <c r="BY472" s="110"/>
      <c r="BZ472" s="110"/>
      <c r="CA472" s="110"/>
      <c r="CB472" s="110"/>
      <c r="CC472" s="110"/>
    </row>
    <row r="473" spans="1:81" ht="12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  <c r="AV473" s="110"/>
      <c r="AW473" s="110"/>
      <c r="AX473" s="110"/>
      <c r="AY473" s="110"/>
      <c r="AZ473" s="110"/>
      <c r="BA473" s="110"/>
      <c r="BB473" s="110"/>
      <c r="BC473" s="110"/>
      <c r="BD473" s="110"/>
      <c r="BE473" s="110"/>
      <c r="BF473" s="110"/>
      <c r="BG473" s="110"/>
      <c r="BH473" s="110"/>
      <c r="BI473" s="110"/>
      <c r="BJ473" s="110"/>
      <c r="BK473" s="110"/>
      <c r="BL473" s="110"/>
      <c r="BM473" s="110"/>
      <c r="BN473" s="110"/>
      <c r="BO473" s="110"/>
      <c r="BP473" s="110"/>
      <c r="BQ473" s="110"/>
      <c r="BR473" s="110"/>
      <c r="BS473" s="110"/>
      <c r="BT473" s="110"/>
      <c r="BU473" s="110"/>
      <c r="BV473" s="110"/>
      <c r="BW473" s="110"/>
      <c r="BX473" s="110"/>
      <c r="BY473" s="110"/>
      <c r="BZ473" s="110"/>
      <c r="CA473" s="110"/>
      <c r="CB473" s="110"/>
      <c r="CC473" s="110"/>
    </row>
    <row r="474" spans="1:81" ht="12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  <c r="AV474" s="110"/>
      <c r="AW474" s="110"/>
      <c r="AX474" s="110"/>
      <c r="AY474" s="110"/>
      <c r="AZ474" s="110"/>
      <c r="BA474" s="110"/>
      <c r="BB474" s="110"/>
      <c r="BC474" s="110"/>
      <c r="BD474" s="110"/>
      <c r="BE474" s="110"/>
      <c r="BF474" s="110"/>
      <c r="BG474" s="110"/>
      <c r="BH474" s="110"/>
      <c r="BI474" s="110"/>
      <c r="BJ474" s="110"/>
      <c r="BK474" s="110"/>
      <c r="BL474" s="110"/>
      <c r="BM474" s="110"/>
      <c r="BN474" s="110"/>
      <c r="BO474" s="110"/>
      <c r="BP474" s="110"/>
      <c r="BQ474" s="110"/>
      <c r="BR474" s="110"/>
      <c r="BS474" s="110"/>
      <c r="BT474" s="110"/>
      <c r="BU474" s="110"/>
      <c r="BV474" s="110"/>
      <c r="BW474" s="110"/>
      <c r="BX474" s="110"/>
      <c r="BY474" s="110"/>
      <c r="BZ474" s="110"/>
      <c r="CA474" s="110"/>
      <c r="CB474" s="110"/>
      <c r="CC474" s="110"/>
    </row>
    <row r="475" spans="1:81" ht="12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  <c r="AV475" s="110"/>
      <c r="AW475" s="110"/>
      <c r="AX475" s="110"/>
      <c r="AY475" s="110"/>
      <c r="AZ475" s="110"/>
      <c r="BA475" s="110"/>
      <c r="BB475" s="110"/>
      <c r="BC475" s="110"/>
      <c r="BD475" s="110"/>
      <c r="BE475" s="110"/>
      <c r="BF475" s="110"/>
      <c r="BG475" s="110"/>
      <c r="BH475" s="110"/>
      <c r="BI475" s="110"/>
      <c r="BJ475" s="110"/>
      <c r="BK475" s="110"/>
      <c r="BL475" s="110"/>
      <c r="BM475" s="110"/>
      <c r="BN475" s="110"/>
      <c r="BO475" s="110"/>
      <c r="BP475" s="110"/>
      <c r="BQ475" s="110"/>
      <c r="BR475" s="110"/>
      <c r="BS475" s="110"/>
      <c r="BT475" s="110"/>
      <c r="BU475" s="110"/>
      <c r="BV475" s="110"/>
      <c r="BW475" s="110"/>
      <c r="BX475" s="110"/>
      <c r="BY475" s="110"/>
      <c r="BZ475" s="110"/>
      <c r="CA475" s="110"/>
      <c r="CB475" s="110"/>
      <c r="CC475" s="110"/>
    </row>
    <row r="476" spans="1:81" ht="12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  <c r="AV476" s="110"/>
      <c r="AW476" s="110"/>
      <c r="AX476" s="110"/>
      <c r="AY476" s="110"/>
      <c r="AZ476" s="110"/>
      <c r="BA476" s="110"/>
      <c r="BB476" s="110"/>
      <c r="BC476" s="110"/>
      <c r="BD476" s="110"/>
      <c r="BE476" s="110"/>
      <c r="BF476" s="110"/>
      <c r="BG476" s="110"/>
      <c r="BH476" s="110"/>
      <c r="BI476" s="110"/>
      <c r="BJ476" s="110"/>
      <c r="BK476" s="110"/>
      <c r="BL476" s="110"/>
      <c r="BM476" s="110"/>
      <c r="BN476" s="110"/>
      <c r="BO476" s="110"/>
      <c r="BP476" s="110"/>
      <c r="BQ476" s="110"/>
      <c r="BR476" s="110"/>
      <c r="BS476" s="110"/>
      <c r="BT476" s="110"/>
      <c r="BU476" s="110"/>
      <c r="BV476" s="110"/>
      <c r="BW476" s="110"/>
      <c r="BX476" s="110"/>
      <c r="BY476" s="110"/>
      <c r="BZ476" s="110"/>
      <c r="CA476" s="110"/>
      <c r="CB476" s="110"/>
      <c r="CC476" s="110"/>
    </row>
    <row r="477" spans="1:81" ht="12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  <c r="AV477" s="110"/>
      <c r="AW477" s="110"/>
      <c r="AX477" s="110"/>
      <c r="AY477" s="110"/>
      <c r="AZ477" s="110"/>
      <c r="BA477" s="110"/>
      <c r="BB477" s="110"/>
      <c r="BC477" s="110"/>
      <c r="BD477" s="110"/>
      <c r="BE477" s="110"/>
      <c r="BF477" s="110"/>
      <c r="BG477" s="110"/>
      <c r="BH477" s="110"/>
      <c r="BI477" s="110"/>
      <c r="BJ477" s="110"/>
      <c r="BK477" s="110"/>
      <c r="BL477" s="110"/>
      <c r="BM477" s="110"/>
      <c r="BN477" s="110"/>
      <c r="BO477" s="110"/>
      <c r="BP477" s="110"/>
      <c r="BQ477" s="110"/>
      <c r="BR477" s="110"/>
      <c r="BS477" s="110"/>
      <c r="BT477" s="110"/>
      <c r="BU477" s="110"/>
      <c r="BV477" s="110"/>
      <c r="BW477" s="110"/>
      <c r="BX477" s="110"/>
      <c r="BY477" s="110"/>
      <c r="BZ477" s="110"/>
      <c r="CA477" s="110"/>
      <c r="CB477" s="110"/>
      <c r="CC477" s="110"/>
    </row>
    <row r="478" spans="1:81" ht="12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  <c r="AW478" s="110"/>
      <c r="AX478" s="110"/>
      <c r="AY478" s="110"/>
      <c r="AZ478" s="110"/>
      <c r="BA478" s="110"/>
      <c r="BB478" s="110"/>
      <c r="BC478" s="110"/>
      <c r="BD478" s="110"/>
      <c r="BE478" s="110"/>
      <c r="BF478" s="110"/>
      <c r="BG478" s="110"/>
      <c r="BH478" s="110"/>
      <c r="BI478" s="110"/>
      <c r="BJ478" s="110"/>
      <c r="BK478" s="110"/>
      <c r="BL478" s="110"/>
      <c r="BM478" s="110"/>
      <c r="BN478" s="110"/>
      <c r="BO478" s="110"/>
      <c r="BP478" s="110"/>
      <c r="BQ478" s="110"/>
      <c r="BR478" s="110"/>
      <c r="BS478" s="110"/>
      <c r="BT478" s="110"/>
      <c r="BU478" s="110"/>
      <c r="BV478" s="110"/>
      <c r="BW478" s="110"/>
      <c r="BX478" s="110"/>
      <c r="BY478" s="110"/>
      <c r="BZ478" s="110"/>
      <c r="CA478" s="110"/>
      <c r="CB478" s="110"/>
      <c r="CC478" s="110"/>
    </row>
    <row r="479" spans="1:81" ht="12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  <c r="AW479" s="110"/>
      <c r="AX479" s="110"/>
      <c r="AY479" s="110"/>
      <c r="AZ479" s="110"/>
      <c r="BA479" s="110"/>
      <c r="BB479" s="110"/>
      <c r="BC479" s="110"/>
      <c r="BD479" s="110"/>
      <c r="BE479" s="110"/>
      <c r="BF479" s="110"/>
      <c r="BG479" s="110"/>
      <c r="BH479" s="110"/>
      <c r="BI479" s="110"/>
      <c r="BJ479" s="110"/>
      <c r="BK479" s="110"/>
      <c r="BL479" s="110"/>
      <c r="BM479" s="110"/>
      <c r="BN479" s="110"/>
      <c r="BO479" s="110"/>
      <c r="BP479" s="110"/>
      <c r="BQ479" s="110"/>
      <c r="BR479" s="110"/>
      <c r="BS479" s="110"/>
      <c r="BT479" s="110"/>
      <c r="BU479" s="110"/>
      <c r="BV479" s="110"/>
      <c r="BW479" s="110"/>
      <c r="BX479" s="110"/>
      <c r="BY479" s="110"/>
      <c r="BZ479" s="110"/>
      <c r="CA479" s="110"/>
      <c r="CB479" s="110"/>
      <c r="CC479" s="110"/>
    </row>
    <row r="480" spans="1:81" ht="12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  <c r="AW480" s="110"/>
      <c r="AX480" s="110"/>
      <c r="AY480" s="110"/>
      <c r="AZ480" s="110"/>
      <c r="BA480" s="110"/>
      <c r="BB480" s="110"/>
      <c r="BC480" s="110"/>
      <c r="BD480" s="110"/>
      <c r="BE480" s="110"/>
      <c r="BF480" s="110"/>
      <c r="BG480" s="110"/>
      <c r="BH480" s="110"/>
      <c r="BI480" s="110"/>
      <c r="BJ480" s="110"/>
      <c r="BK480" s="110"/>
      <c r="BL480" s="110"/>
      <c r="BM480" s="110"/>
      <c r="BN480" s="110"/>
      <c r="BO480" s="110"/>
      <c r="BP480" s="110"/>
      <c r="BQ480" s="110"/>
      <c r="BR480" s="110"/>
      <c r="BS480" s="110"/>
      <c r="BT480" s="110"/>
      <c r="BU480" s="110"/>
      <c r="BV480" s="110"/>
      <c r="BW480" s="110"/>
      <c r="BX480" s="110"/>
      <c r="BY480" s="110"/>
      <c r="BZ480" s="110"/>
      <c r="CA480" s="110"/>
      <c r="CB480" s="110"/>
      <c r="CC480" s="110"/>
    </row>
    <row r="481" spans="1:81" ht="12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  <c r="AV481" s="110"/>
      <c r="AW481" s="110"/>
      <c r="AX481" s="110"/>
      <c r="AY481" s="110"/>
      <c r="AZ481" s="110"/>
      <c r="BA481" s="110"/>
      <c r="BB481" s="110"/>
      <c r="BC481" s="110"/>
      <c r="BD481" s="110"/>
      <c r="BE481" s="110"/>
      <c r="BF481" s="110"/>
      <c r="BG481" s="110"/>
      <c r="BH481" s="110"/>
      <c r="BI481" s="110"/>
      <c r="BJ481" s="110"/>
      <c r="BK481" s="110"/>
      <c r="BL481" s="110"/>
      <c r="BM481" s="110"/>
      <c r="BN481" s="110"/>
      <c r="BO481" s="110"/>
      <c r="BP481" s="110"/>
      <c r="BQ481" s="110"/>
      <c r="BR481" s="110"/>
      <c r="BS481" s="110"/>
      <c r="BT481" s="110"/>
      <c r="BU481" s="110"/>
      <c r="BV481" s="110"/>
      <c r="BW481" s="110"/>
      <c r="BX481" s="110"/>
      <c r="BY481" s="110"/>
      <c r="BZ481" s="110"/>
      <c r="CA481" s="110"/>
      <c r="CB481" s="110"/>
      <c r="CC481" s="110"/>
    </row>
    <row r="482" spans="1:81" ht="12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  <c r="AW482" s="110"/>
      <c r="AX482" s="110"/>
      <c r="AY482" s="110"/>
      <c r="AZ482" s="110"/>
      <c r="BA482" s="110"/>
      <c r="BB482" s="110"/>
      <c r="BC482" s="110"/>
      <c r="BD482" s="110"/>
      <c r="BE482" s="110"/>
      <c r="BF482" s="110"/>
      <c r="BG482" s="110"/>
      <c r="BH482" s="110"/>
      <c r="BI482" s="110"/>
      <c r="BJ482" s="110"/>
      <c r="BK482" s="110"/>
      <c r="BL482" s="110"/>
      <c r="BM482" s="110"/>
      <c r="BN482" s="110"/>
      <c r="BO482" s="110"/>
      <c r="BP482" s="110"/>
      <c r="BQ482" s="110"/>
      <c r="BR482" s="110"/>
      <c r="BS482" s="110"/>
      <c r="BT482" s="110"/>
      <c r="BU482" s="110"/>
      <c r="BV482" s="110"/>
      <c r="BW482" s="110"/>
      <c r="BX482" s="110"/>
      <c r="BY482" s="110"/>
      <c r="BZ482" s="110"/>
      <c r="CA482" s="110"/>
      <c r="CB482" s="110"/>
      <c r="CC482" s="110"/>
    </row>
    <row r="483" spans="1:81" ht="12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  <c r="AW483" s="110"/>
      <c r="AX483" s="110"/>
      <c r="AY483" s="110"/>
      <c r="AZ483" s="110"/>
      <c r="BA483" s="110"/>
      <c r="BB483" s="110"/>
      <c r="BC483" s="110"/>
      <c r="BD483" s="110"/>
      <c r="BE483" s="110"/>
      <c r="BF483" s="110"/>
      <c r="BG483" s="110"/>
      <c r="BH483" s="110"/>
      <c r="BI483" s="110"/>
      <c r="BJ483" s="110"/>
      <c r="BK483" s="110"/>
      <c r="BL483" s="110"/>
      <c r="BM483" s="110"/>
      <c r="BN483" s="110"/>
      <c r="BO483" s="110"/>
      <c r="BP483" s="110"/>
      <c r="BQ483" s="110"/>
      <c r="BR483" s="110"/>
      <c r="BS483" s="110"/>
      <c r="BT483" s="110"/>
      <c r="BU483" s="110"/>
      <c r="BV483" s="110"/>
      <c r="BW483" s="110"/>
      <c r="BX483" s="110"/>
      <c r="BY483" s="110"/>
      <c r="BZ483" s="110"/>
      <c r="CA483" s="110"/>
      <c r="CB483" s="110"/>
      <c r="CC483" s="110"/>
    </row>
    <row r="484" spans="1:81" ht="12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  <c r="AW484" s="110"/>
      <c r="AX484" s="110"/>
      <c r="AY484" s="110"/>
      <c r="AZ484" s="110"/>
      <c r="BA484" s="110"/>
      <c r="BB484" s="110"/>
      <c r="BC484" s="110"/>
      <c r="BD484" s="110"/>
      <c r="BE484" s="110"/>
      <c r="BF484" s="110"/>
      <c r="BG484" s="110"/>
      <c r="BH484" s="110"/>
      <c r="BI484" s="110"/>
      <c r="BJ484" s="110"/>
      <c r="BK484" s="110"/>
      <c r="BL484" s="110"/>
      <c r="BM484" s="110"/>
      <c r="BN484" s="110"/>
      <c r="BO484" s="110"/>
      <c r="BP484" s="110"/>
      <c r="BQ484" s="110"/>
      <c r="BR484" s="110"/>
      <c r="BS484" s="110"/>
      <c r="BT484" s="110"/>
      <c r="BU484" s="110"/>
      <c r="BV484" s="110"/>
      <c r="BW484" s="110"/>
      <c r="BX484" s="110"/>
      <c r="BY484" s="110"/>
      <c r="BZ484" s="110"/>
      <c r="CA484" s="110"/>
      <c r="CB484" s="110"/>
      <c r="CC484" s="110"/>
    </row>
    <row r="485" spans="1:81" ht="12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  <c r="AW485" s="110"/>
      <c r="AX485" s="110"/>
      <c r="AY485" s="110"/>
      <c r="AZ485" s="110"/>
      <c r="BA485" s="110"/>
      <c r="BB485" s="110"/>
      <c r="BC485" s="110"/>
      <c r="BD485" s="110"/>
      <c r="BE485" s="110"/>
      <c r="BF485" s="110"/>
      <c r="BG485" s="110"/>
      <c r="BH485" s="110"/>
      <c r="BI485" s="110"/>
      <c r="BJ485" s="110"/>
      <c r="BK485" s="110"/>
      <c r="BL485" s="110"/>
      <c r="BM485" s="110"/>
      <c r="BN485" s="110"/>
      <c r="BO485" s="110"/>
      <c r="BP485" s="110"/>
      <c r="BQ485" s="110"/>
      <c r="BR485" s="110"/>
      <c r="BS485" s="110"/>
      <c r="BT485" s="110"/>
      <c r="BU485" s="110"/>
      <c r="BV485" s="110"/>
      <c r="BW485" s="110"/>
      <c r="BX485" s="110"/>
      <c r="BY485" s="110"/>
      <c r="BZ485" s="110"/>
      <c r="CA485" s="110"/>
      <c r="CB485" s="110"/>
      <c r="CC485" s="110"/>
    </row>
    <row r="486" spans="1:81" ht="12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  <c r="AW486" s="110"/>
      <c r="AX486" s="110"/>
      <c r="AY486" s="110"/>
      <c r="AZ486" s="110"/>
      <c r="BA486" s="110"/>
      <c r="BB486" s="110"/>
      <c r="BC486" s="110"/>
      <c r="BD486" s="110"/>
      <c r="BE486" s="110"/>
      <c r="BF486" s="110"/>
      <c r="BG486" s="110"/>
      <c r="BH486" s="110"/>
      <c r="BI486" s="110"/>
      <c r="BJ486" s="110"/>
      <c r="BK486" s="110"/>
      <c r="BL486" s="110"/>
      <c r="BM486" s="110"/>
      <c r="BN486" s="110"/>
      <c r="BO486" s="110"/>
      <c r="BP486" s="110"/>
      <c r="BQ486" s="110"/>
      <c r="BR486" s="110"/>
      <c r="BS486" s="110"/>
      <c r="BT486" s="110"/>
      <c r="BU486" s="110"/>
      <c r="BV486" s="110"/>
      <c r="BW486" s="110"/>
      <c r="BX486" s="110"/>
      <c r="BY486" s="110"/>
      <c r="BZ486" s="110"/>
      <c r="CA486" s="110"/>
      <c r="CB486" s="110"/>
      <c r="CC486" s="110"/>
    </row>
    <row r="487" spans="1:81" ht="12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  <c r="AS487" s="110"/>
      <c r="AT487" s="110"/>
      <c r="AU487" s="110"/>
      <c r="AV487" s="110"/>
      <c r="AW487" s="110"/>
      <c r="AX487" s="110"/>
      <c r="AY487" s="110"/>
      <c r="AZ487" s="110"/>
      <c r="BA487" s="110"/>
      <c r="BB487" s="110"/>
      <c r="BC487" s="110"/>
      <c r="BD487" s="110"/>
      <c r="BE487" s="110"/>
      <c r="BF487" s="110"/>
      <c r="BG487" s="110"/>
      <c r="BH487" s="110"/>
      <c r="BI487" s="110"/>
      <c r="BJ487" s="110"/>
      <c r="BK487" s="110"/>
      <c r="BL487" s="110"/>
      <c r="BM487" s="110"/>
      <c r="BN487" s="110"/>
      <c r="BO487" s="110"/>
      <c r="BP487" s="110"/>
      <c r="BQ487" s="110"/>
      <c r="BR487" s="110"/>
      <c r="BS487" s="110"/>
      <c r="BT487" s="110"/>
      <c r="BU487" s="110"/>
      <c r="BV487" s="110"/>
      <c r="BW487" s="110"/>
      <c r="BX487" s="110"/>
      <c r="BY487" s="110"/>
      <c r="BZ487" s="110"/>
      <c r="CA487" s="110"/>
      <c r="CB487" s="110"/>
      <c r="CC487" s="110"/>
    </row>
    <row r="488" spans="1:81" ht="12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  <c r="AS488" s="110"/>
      <c r="AT488" s="110"/>
      <c r="AU488" s="110"/>
      <c r="AV488" s="110"/>
      <c r="AW488" s="110"/>
      <c r="AX488" s="110"/>
      <c r="AY488" s="110"/>
      <c r="AZ488" s="110"/>
      <c r="BA488" s="110"/>
      <c r="BB488" s="110"/>
      <c r="BC488" s="110"/>
      <c r="BD488" s="110"/>
      <c r="BE488" s="110"/>
      <c r="BF488" s="110"/>
      <c r="BG488" s="110"/>
      <c r="BH488" s="110"/>
      <c r="BI488" s="110"/>
      <c r="BJ488" s="110"/>
      <c r="BK488" s="110"/>
      <c r="BL488" s="110"/>
      <c r="BM488" s="110"/>
      <c r="BN488" s="110"/>
      <c r="BO488" s="110"/>
      <c r="BP488" s="110"/>
      <c r="BQ488" s="110"/>
      <c r="BR488" s="110"/>
      <c r="BS488" s="110"/>
      <c r="BT488" s="110"/>
      <c r="BU488" s="110"/>
      <c r="BV488" s="110"/>
      <c r="BW488" s="110"/>
      <c r="BX488" s="110"/>
      <c r="BY488" s="110"/>
      <c r="BZ488" s="110"/>
      <c r="CA488" s="110"/>
      <c r="CB488" s="110"/>
      <c r="CC488" s="110"/>
    </row>
    <row r="489" spans="1:81" ht="12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  <c r="AS489" s="110"/>
      <c r="AT489" s="110"/>
      <c r="AU489" s="110"/>
      <c r="AV489" s="110"/>
      <c r="AW489" s="110"/>
      <c r="AX489" s="110"/>
      <c r="AY489" s="110"/>
      <c r="AZ489" s="110"/>
      <c r="BA489" s="110"/>
      <c r="BB489" s="110"/>
      <c r="BC489" s="110"/>
      <c r="BD489" s="110"/>
      <c r="BE489" s="110"/>
      <c r="BF489" s="110"/>
      <c r="BG489" s="110"/>
      <c r="BH489" s="110"/>
      <c r="BI489" s="110"/>
      <c r="BJ489" s="110"/>
      <c r="BK489" s="110"/>
      <c r="BL489" s="110"/>
      <c r="BM489" s="110"/>
      <c r="BN489" s="110"/>
      <c r="BO489" s="110"/>
      <c r="BP489" s="110"/>
      <c r="BQ489" s="110"/>
      <c r="BR489" s="110"/>
      <c r="BS489" s="110"/>
      <c r="BT489" s="110"/>
      <c r="BU489" s="110"/>
      <c r="BV489" s="110"/>
      <c r="BW489" s="110"/>
      <c r="BX489" s="110"/>
      <c r="BY489" s="110"/>
      <c r="BZ489" s="110"/>
      <c r="CA489" s="110"/>
      <c r="CB489" s="110"/>
      <c r="CC489" s="110"/>
    </row>
    <row r="490" spans="1:81" ht="12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  <c r="AS490" s="110"/>
      <c r="AT490" s="110"/>
      <c r="AU490" s="110"/>
      <c r="AV490" s="110"/>
      <c r="AW490" s="110"/>
      <c r="AX490" s="110"/>
      <c r="AY490" s="110"/>
      <c r="AZ490" s="110"/>
      <c r="BA490" s="110"/>
      <c r="BB490" s="110"/>
      <c r="BC490" s="110"/>
      <c r="BD490" s="110"/>
      <c r="BE490" s="110"/>
      <c r="BF490" s="110"/>
      <c r="BG490" s="110"/>
      <c r="BH490" s="110"/>
      <c r="BI490" s="110"/>
      <c r="BJ490" s="110"/>
      <c r="BK490" s="110"/>
      <c r="BL490" s="110"/>
      <c r="BM490" s="110"/>
      <c r="BN490" s="110"/>
      <c r="BO490" s="110"/>
      <c r="BP490" s="110"/>
      <c r="BQ490" s="110"/>
      <c r="BR490" s="110"/>
      <c r="BS490" s="110"/>
      <c r="BT490" s="110"/>
      <c r="BU490" s="110"/>
      <c r="BV490" s="110"/>
      <c r="BW490" s="110"/>
      <c r="BX490" s="110"/>
      <c r="BY490" s="110"/>
      <c r="BZ490" s="110"/>
      <c r="CA490" s="110"/>
      <c r="CB490" s="110"/>
      <c r="CC490" s="110"/>
    </row>
    <row r="491" spans="1:81" ht="12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  <c r="AS491" s="110"/>
      <c r="AT491" s="110"/>
      <c r="AU491" s="110"/>
      <c r="AV491" s="110"/>
      <c r="AW491" s="110"/>
      <c r="AX491" s="110"/>
      <c r="AY491" s="110"/>
      <c r="AZ491" s="110"/>
      <c r="BA491" s="110"/>
      <c r="BB491" s="110"/>
      <c r="BC491" s="110"/>
      <c r="BD491" s="110"/>
      <c r="BE491" s="110"/>
      <c r="BF491" s="110"/>
      <c r="BG491" s="110"/>
      <c r="BH491" s="110"/>
      <c r="BI491" s="110"/>
      <c r="BJ491" s="110"/>
      <c r="BK491" s="110"/>
      <c r="BL491" s="110"/>
      <c r="BM491" s="110"/>
      <c r="BN491" s="110"/>
      <c r="BO491" s="110"/>
      <c r="BP491" s="110"/>
      <c r="BQ491" s="110"/>
      <c r="BR491" s="110"/>
      <c r="BS491" s="110"/>
      <c r="BT491" s="110"/>
      <c r="BU491" s="110"/>
      <c r="BV491" s="110"/>
      <c r="BW491" s="110"/>
      <c r="BX491" s="110"/>
      <c r="BY491" s="110"/>
      <c r="BZ491" s="110"/>
      <c r="CA491" s="110"/>
      <c r="CB491" s="110"/>
      <c r="CC491" s="110"/>
    </row>
    <row r="492" spans="1:81" ht="12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  <c r="AS492" s="110"/>
      <c r="AT492" s="110"/>
      <c r="AU492" s="110"/>
      <c r="AV492" s="110"/>
      <c r="AW492" s="110"/>
      <c r="AX492" s="110"/>
      <c r="AY492" s="110"/>
      <c r="AZ492" s="110"/>
      <c r="BA492" s="110"/>
      <c r="BB492" s="110"/>
      <c r="BC492" s="110"/>
      <c r="BD492" s="110"/>
      <c r="BE492" s="110"/>
      <c r="BF492" s="110"/>
      <c r="BG492" s="110"/>
      <c r="BH492" s="110"/>
      <c r="BI492" s="110"/>
      <c r="BJ492" s="110"/>
      <c r="BK492" s="110"/>
      <c r="BL492" s="110"/>
      <c r="BM492" s="110"/>
      <c r="BN492" s="110"/>
      <c r="BO492" s="110"/>
      <c r="BP492" s="110"/>
      <c r="BQ492" s="110"/>
      <c r="BR492" s="110"/>
      <c r="BS492" s="110"/>
      <c r="BT492" s="110"/>
      <c r="BU492" s="110"/>
      <c r="BV492" s="110"/>
      <c r="BW492" s="110"/>
      <c r="BX492" s="110"/>
      <c r="BY492" s="110"/>
      <c r="BZ492" s="110"/>
      <c r="CA492" s="110"/>
      <c r="CB492" s="110"/>
      <c r="CC492" s="110"/>
    </row>
    <row r="493" spans="1:81" ht="12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  <c r="AS493" s="110"/>
      <c r="AT493" s="110"/>
      <c r="AU493" s="110"/>
      <c r="AV493" s="110"/>
      <c r="AW493" s="110"/>
      <c r="AX493" s="110"/>
      <c r="AY493" s="110"/>
      <c r="AZ493" s="110"/>
      <c r="BA493" s="110"/>
      <c r="BB493" s="110"/>
      <c r="BC493" s="110"/>
      <c r="BD493" s="110"/>
      <c r="BE493" s="110"/>
      <c r="BF493" s="110"/>
      <c r="BG493" s="110"/>
      <c r="BH493" s="110"/>
      <c r="BI493" s="110"/>
      <c r="BJ493" s="110"/>
      <c r="BK493" s="110"/>
      <c r="BL493" s="110"/>
      <c r="BM493" s="110"/>
      <c r="BN493" s="110"/>
      <c r="BO493" s="110"/>
      <c r="BP493" s="110"/>
      <c r="BQ493" s="110"/>
      <c r="BR493" s="110"/>
      <c r="BS493" s="110"/>
      <c r="BT493" s="110"/>
      <c r="BU493" s="110"/>
      <c r="BV493" s="110"/>
      <c r="BW493" s="110"/>
      <c r="BX493" s="110"/>
      <c r="BY493" s="110"/>
      <c r="BZ493" s="110"/>
      <c r="CA493" s="110"/>
      <c r="CB493" s="110"/>
      <c r="CC493" s="110"/>
    </row>
    <row r="494" spans="1:81" ht="12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  <c r="AU494" s="110"/>
      <c r="AV494" s="110"/>
      <c r="AW494" s="110"/>
      <c r="AX494" s="110"/>
      <c r="AY494" s="110"/>
      <c r="AZ494" s="110"/>
      <c r="BA494" s="110"/>
      <c r="BB494" s="110"/>
      <c r="BC494" s="110"/>
      <c r="BD494" s="110"/>
      <c r="BE494" s="110"/>
      <c r="BF494" s="110"/>
      <c r="BG494" s="110"/>
      <c r="BH494" s="110"/>
      <c r="BI494" s="110"/>
      <c r="BJ494" s="110"/>
      <c r="BK494" s="110"/>
      <c r="BL494" s="110"/>
      <c r="BM494" s="110"/>
      <c r="BN494" s="110"/>
      <c r="BO494" s="110"/>
      <c r="BP494" s="110"/>
      <c r="BQ494" s="110"/>
      <c r="BR494" s="110"/>
      <c r="BS494" s="110"/>
      <c r="BT494" s="110"/>
      <c r="BU494" s="110"/>
      <c r="BV494" s="110"/>
      <c r="BW494" s="110"/>
      <c r="BX494" s="110"/>
      <c r="BY494" s="110"/>
      <c r="BZ494" s="110"/>
      <c r="CA494" s="110"/>
      <c r="CB494" s="110"/>
      <c r="CC494" s="110"/>
    </row>
    <row r="495" spans="1:81" ht="12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  <c r="AS495" s="110"/>
      <c r="AT495" s="110"/>
      <c r="AU495" s="110"/>
      <c r="AV495" s="110"/>
      <c r="AW495" s="110"/>
      <c r="AX495" s="110"/>
      <c r="AY495" s="110"/>
      <c r="AZ495" s="110"/>
      <c r="BA495" s="110"/>
      <c r="BB495" s="110"/>
      <c r="BC495" s="110"/>
      <c r="BD495" s="110"/>
      <c r="BE495" s="110"/>
      <c r="BF495" s="110"/>
      <c r="BG495" s="110"/>
      <c r="BH495" s="110"/>
      <c r="BI495" s="110"/>
      <c r="BJ495" s="110"/>
      <c r="BK495" s="110"/>
      <c r="BL495" s="110"/>
      <c r="BM495" s="110"/>
      <c r="BN495" s="110"/>
      <c r="BO495" s="110"/>
      <c r="BP495" s="110"/>
      <c r="BQ495" s="110"/>
      <c r="BR495" s="110"/>
      <c r="BS495" s="110"/>
      <c r="BT495" s="110"/>
      <c r="BU495" s="110"/>
      <c r="BV495" s="110"/>
      <c r="BW495" s="110"/>
      <c r="BX495" s="110"/>
      <c r="BY495" s="110"/>
      <c r="BZ495" s="110"/>
      <c r="CA495" s="110"/>
      <c r="CB495" s="110"/>
      <c r="CC495" s="110"/>
    </row>
    <row r="496" spans="1:81" ht="12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  <c r="AS496" s="110"/>
      <c r="AT496" s="110"/>
      <c r="AU496" s="110"/>
      <c r="AV496" s="110"/>
      <c r="AW496" s="110"/>
      <c r="AX496" s="110"/>
      <c r="AY496" s="110"/>
      <c r="AZ496" s="110"/>
      <c r="BA496" s="110"/>
      <c r="BB496" s="110"/>
      <c r="BC496" s="110"/>
      <c r="BD496" s="110"/>
      <c r="BE496" s="110"/>
      <c r="BF496" s="110"/>
      <c r="BG496" s="110"/>
      <c r="BH496" s="110"/>
      <c r="BI496" s="110"/>
      <c r="BJ496" s="110"/>
      <c r="BK496" s="110"/>
      <c r="BL496" s="110"/>
      <c r="BM496" s="110"/>
      <c r="BN496" s="110"/>
      <c r="BO496" s="110"/>
      <c r="BP496" s="110"/>
      <c r="BQ496" s="110"/>
      <c r="BR496" s="110"/>
      <c r="BS496" s="110"/>
      <c r="BT496" s="110"/>
      <c r="BU496" s="110"/>
      <c r="BV496" s="110"/>
      <c r="BW496" s="110"/>
      <c r="BX496" s="110"/>
      <c r="BY496" s="110"/>
      <c r="BZ496" s="110"/>
      <c r="CA496" s="110"/>
      <c r="CB496" s="110"/>
      <c r="CC496" s="110"/>
    </row>
    <row r="497" spans="1:81" ht="12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  <c r="AV497" s="110"/>
      <c r="AW497" s="110"/>
      <c r="AX497" s="110"/>
      <c r="AY497" s="110"/>
      <c r="AZ497" s="110"/>
      <c r="BA497" s="110"/>
      <c r="BB497" s="110"/>
      <c r="BC497" s="110"/>
      <c r="BD497" s="110"/>
      <c r="BE497" s="110"/>
      <c r="BF497" s="110"/>
      <c r="BG497" s="110"/>
      <c r="BH497" s="110"/>
      <c r="BI497" s="110"/>
      <c r="BJ497" s="110"/>
      <c r="BK497" s="110"/>
      <c r="BL497" s="110"/>
      <c r="BM497" s="110"/>
      <c r="BN497" s="110"/>
      <c r="BO497" s="110"/>
      <c r="BP497" s="110"/>
      <c r="BQ497" s="110"/>
      <c r="BR497" s="110"/>
      <c r="BS497" s="110"/>
      <c r="BT497" s="110"/>
      <c r="BU497" s="110"/>
      <c r="BV497" s="110"/>
      <c r="BW497" s="110"/>
      <c r="BX497" s="110"/>
      <c r="BY497" s="110"/>
      <c r="BZ497" s="110"/>
      <c r="CA497" s="110"/>
      <c r="CB497" s="110"/>
      <c r="CC497" s="110"/>
    </row>
    <row r="498" spans="1:81" ht="12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  <c r="AS498" s="110"/>
      <c r="AT498" s="110"/>
      <c r="AU498" s="110"/>
      <c r="AV498" s="110"/>
      <c r="AW498" s="110"/>
      <c r="AX498" s="110"/>
      <c r="AY498" s="110"/>
      <c r="AZ498" s="110"/>
      <c r="BA498" s="110"/>
      <c r="BB498" s="110"/>
      <c r="BC498" s="110"/>
      <c r="BD498" s="110"/>
      <c r="BE498" s="110"/>
      <c r="BF498" s="110"/>
      <c r="BG498" s="110"/>
      <c r="BH498" s="110"/>
      <c r="BI498" s="110"/>
      <c r="BJ498" s="110"/>
      <c r="BK498" s="110"/>
      <c r="BL498" s="110"/>
      <c r="BM498" s="110"/>
      <c r="BN498" s="110"/>
      <c r="BO498" s="110"/>
      <c r="BP498" s="110"/>
      <c r="BQ498" s="110"/>
      <c r="BR498" s="110"/>
      <c r="BS498" s="110"/>
      <c r="BT498" s="110"/>
      <c r="BU498" s="110"/>
      <c r="BV498" s="110"/>
      <c r="BW498" s="110"/>
      <c r="BX498" s="110"/>
      <c r="BY498" s="110"/>
      <c r="BZ498" s="110"/>
      <c r="CA498" s="110"/>
      <c r="CB498" s="110"/>
      <c r="CC498" s="110"/>
    </row>
    <row r="499" spans="1:81" ht="12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  <c r="AS499" s="110"/>
      <c r="AT499" s="110"/>
      <c r="AU499" s="110"/>
      <c r="AV499" s="110"/>
      <c r="AW499" s="110"/>
      <c r="AX499" s="110"/>
      <c r="AY499" s="110"/>
      <c r="AZ499" s="110"/>
      <c r="BA499" s="110"/>
      <c r="BB499" s="110"/>
      <c r="BC499" s="110"/>
      <c r="BD499" s="110"/>
      <c r="BE499" s="110"/>
      <c r="BF499" s="110"/>
      <c r="BG499" s="110"/>
      <c r="BH499" s="110"/>
      <c r="BI499" s="110"/>
      <c r="BJ499" s="110"/>
      <c r="BK499" s="110"/>
      <c r="BL499" s="110"/>
      <c r="BM499" s="110"/>
      <c r="BN499" s="110"/>
      <c r="BO499" s="110"/>
      <c r="BP499" s="110"/>
      <c r="BQ499" s="110"/>
      <c r="BR499" s="110"/>
      <c r="BS499" s="110"/>
      <c r="BT499" s="110"/>
      <c r="BU499" s="110"/>
      <c r="BV499" s="110"/>
      <c r="BW499" s="110"/>
      <c r="BX499" s="110"/>
      <c r="BY499" s="110"/>
      <c r="BZ499" s="110"/>
      <c r="CA499" s="110"/>
      <c r="CB499" s="110"/>
      <c r="CC499" s="110"/>
    </row>
    <row r="500" spans="1:81" ht="12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  <c r="AU500" s="110"/>
      <c r="AV500" s="110"/>
      <c r="AW500" s="110"/>
      <c r="AX500" s="110"/>
      <c r="AY500" s="110"/>
      <c r="AZ500" s="110"/>
      <c r="BA500" s="110"/>
      <c r="BB500" s="110"/>
      <c r="BC500" s="110"/>
      <c r="BD500" s="110"/>
      <c r="BE500" s="110"/>
      <c r="BF500" s="110"/>
      <c r="BG500" s="110"/>
      <c r="BH500" s="110"/>
      <c r="BI500" s="110"/>
      <c r="BJ500" s="110"/>
      <c r="BK500" s="110"/>
      <c r="BL500" s="110"/>
      <c r="BM500" s="110"/>
      <c r="BN500" s="110"/>
      <c r="BO500" s="110"/>
      <c r="BP500" s="110"/>
      <c r="BQ500" s="110"/>
      <c r="BR500" s="110"/>
      <c r="BS500" s="110"/>
      <c r="BT500" s="110"/>
      <c r="BU500" s="110"/>
      <c r="BV500" s="110"/>
      <c r="BW500" s="110"/>
      <c r="BX500" s="110"/>
      <c r="BY500" s="110"/>
      <c r="BZ500" s="110"/>
      <c r="CA500" s="110"/>
      <c r="CB500" s="110"/>
      <c r="CC500" s="110"/>
    </row>
    <row r="501" spans="1:81" ht="12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  <c r="AU501" s="110"/>
      <c r="AV501" s="110"/>
      <c r="AW501" s="110"/>
      <c r="AX501" s="110"/>
      <c r="AY501" s="110"/>
      <c r="AZ501" s="110"/>
      <c r="BA501" s="110"/>
      <c r="BB501" s="110"/>
      <c r="BC501" s="110"/>
      <c r="BD501" s="110"/>
      <c r="BE501" s="110"/>
      <c r="BF501" s="110"/>
      <c r="BG501" s="110"/>
      <c r="BH501" s="110"/>
      <c r="BI501" s="110"/>
      <c r="BJ501" s="110"/>
      <c r="BK501" s="110"/>
      <c r="BL501" s="110"/>
      <c r="BM501" s="110"/>
      <c r="BN501" s="110"/>
      <c r="BO501" s="110"/>
      <c r="BP501" s="110"/>
      <c r="BQ501" s="110"/>
      <c r="BR501" s="110"/>
      <c r="BS501" s="110"/>
      <c r="BT501" s="110"/>
      <c r="BU501" s="110"/>
      <c r="BV501" s="110"/>
      <c r="BW501" s="110"/>
      <c r="BX501" s="110"/>
      <c r="BY501" s="110"/>
      <c r="BZ501" s="110"/>
      <c r="CA501" s="110"/>
      <c r="CB501" s="110"/>
      <c r="CC501" s="110"/>
    </row>
    <row r="502" spans="1:81" ht="12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  <c r="AU502" s="110"/>
      <c r="AV502" s="110"/>
      <c r="AW502" s="110"/>
      <c r="AX502" s="110"/>
      <c r="AY502" s="110"/>
      <c r="AZ502" s="110"/>
      <c r="BA502" s="110"/>
      <c r="BB502" s="110"/>
      <c r="BC502" s="110"/>
      <c r="BD502" s="110"/>
      <c r="BE502" s="110"/>
      <c r="BF502" s="110"/>
      <c r="BG502" s="110"/>
      <c r="BH502" s="110"/>
      <c r="BI502" s="110"/>
      <c r="BJ502" s="110"/>
      <c r="BK502" s="110"/>
      <c r="BL502" s="110"/>
      <c r="BM502" s="110"/>
      <c r="BN502" s="110"/>
      <c r="BO502" s="110"/>
      <c r="BP502" s="110"/>
      <c r="BQ502" s="110"/>
      <c r="BR502" s="110"/>
      <c r="BS502" s="110"/>
      <c r="BT502" s="110"/>
      <c r="BU502" s="110"/>
      <c r="BV502" s="110"/>
      <c r="BW502" s="110"/>
      <c r="BX502" s="110"/>
      <c r="BY502" s="110"/>
      <c r="BZ502" s="110"/>
      <c r="CA502" s="110"/>
      <c r="CB502" s="110"/>
      <c r="CC502" s="110"/>
    </row>
    <row r="503" spans="1:81" ht="12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  <c r="AS503" s="110"/>
      <c r="AT503" s="110"/>
      <c r="AU503" s="110"/>
      <c r="AV503" s="110"/>
      <c r="AW503" s="110"/>
      <c r="AX503" s="110"/>
      <c r="AY503" s="110"/>
      <c r="AZ503" s="110"/>
      <c r="BA503" s="110"/>
      <c r="BB503" s="110"/>
      <c r="BC503" s="110"/>
      <c r="BD503" s="110"/>
      <c r="BE503" s="110"/>
      <c r="BF503" s="110"/>
      <c r="BG503" s="110"/>
      <c r="BH503" s="110"/>
      <c r="BI503" s="110"/>
      <c r="BJ503" s="110"/>
      <c r="BK503" s="110"/>
      <c r="BL503" s="110"/>
      <c r="BM503" s="110"/>
      <c r="BN503" s="110"/>
      <c r="BO503" s="110"/>
      <c r="BP503" s="110"/>
      <c r="BQ503" s="110"/>
      <c r="BR503" s="110"/>
      <c r="BS503" s="110"/>
      <c r="BT503" s="110"/>
      <c r="BU503" s="110"/>
      <c r="BV503" s="110"/>
      <c r="BW503" s="110"/>
      <c r="BX503" s="110"/>
      <c r="BY503" s="110"/>
      <c r="BZ503" s="110"/>
      <c r="CA503" s="110"/>
      <c r="CB503" s="110"/>
      <c r="CC503" s="110"/>
    </row>
    <row r="504" spans="1:81" ht="12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  <c r="AS504" s="110"/>
      <c r="AT504" s="110"/>
      <c r="AU504" s="110"/>
      <c r="AV504" s="110"/>
      <c r="AW504" s="110"/>
      <c r="AX504" s="110"/>
      <c r="AY504" s="110"/>
      <c r="AZ504" s="110"/>
      <c r="BA504" s="110"/>
      <c r="BB504" s="110"/>
      <c r="BC504" s="110"/>
      <c r="BD504" s="110"/>
      <c r="BE504" s="110"/>
      <c r="BF504" s="110"/>
      <c r="BG504" s="110"/>
      <c r="BH504" s="110"/>
      <c r="BI504" s="110"/>
      <c r="BJ504" s="110"/>
      <c r="BK504" s="110"/>
      <c r="BL504" s="110"/>
      <c r="BM504" s="110"/>
      <c r="BN504" s="110"/>
      <c r="BO504" s="110"/>
      <c r="BP504" s="110"/>
      <c r="BQ504" s="110"/>
      <c r="BR504" s="110"/>
      <c r="BS504" s="110"/>
      <c r="BT504" s="110"/>
      <c r="BU504" s="110"/>
      <c r="BV504" s="110"/>
      <c r="BW504" s="110"/>
      <c r="BX504" s="110"/>
      <c r="BY504" s="110"/>
      <c r="BZ504" s="110"/>
      <c r="CA504" s="110"/>
      <c r="CB504" s="110"/>
      <c r="CC504" s="110"/>
    </row>
    <row r="505" spans="1:81" ht="12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  <c r="AU505" s="110"/>
      <c r="AV505" s="110"/>
      <c r="AW505" s="110"/>
      <c r="AX505" s="110"/>
      <c r="AY505" s="110"/>
      <c r="AZ505" s="110"/>
      <c r="BA505" s="110"/>
      <c r="BB505" s="110"/>
      <c r="BC505" s="110"/>
      <c r="BD505" s="110"/>
      <c r="BE505" s="110"/>
      <c r="BF505" s="110"/>
      <c r="BG505" s="110"/>
      <c r="BH505" s="110"/>
      <c r="BI505" s="110"/>
      <c r="BJ505" s="110"/>
      <c r="BK505" s="110"/>
      <c r="BL505" s="110"/>
      <c r="BM505" s="110"/>
      <c r="BN505" s="110"/>
      <c r="BO505" s="110"/>
      <c r="BP505" s="110"/>
      <c r="BQ505" s="110"/>
      <c r="BR505" s="110"/>
      <c r="BS505" s="110"/>
      <c r="BT505" s="110"/>
      <c r="BU505" s="110"/>
      <c r="BV505" s="110"/>
      <c r="BW505" s="110"/>
      <c r="BX505" s="110"/>
      <c r="BY505" s="110"/>
      <c r="BZ505" s="110"/>
      <c r="CA505" s="110"/>
      <c r="CB505" s="110"/>
      <c r="CC505" s="110"/>
    </row>
    <row r="506" spans="1:81" ht="12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  <c r="AU506" s="110"/>
      <c r="AV506" s="110"/>
      <c r="AW506" s="110"/>
      <c r="AX506" s="110"/>
      <c r="AY506" s="110"/>
      <c r="AZ506" s="110"/>
      <c r="BA506" s="110"/>
      <c r="BB506" s="110"/>
      <c r="BC506" s="110"/>
      <c r="BD506" s="110"/>
      <c r="BE506" s="110"/>
      <c r="BF506" s="110"/>
      <c r="BG506" s="110"/>
      <c r="BH506" s="110"/>
      <c r="BI506" s="110"/>
      <c r="BJ506" s="110"/>
      <c r="BK506" s="110"/>
      <c r="BL506" s="110"/>
      <c r="BM506" s="110"/>
      <c r="BN506" s="110"/>
      <c r="BO506" s="110"/>
      <c r="BP506" s="110"/>
      <c r="BQ506" s="110"/>
      <c r="BR506" s="110"/>
      <c r="BS506" s="110"/>
      <c r="BT506" s="110"/>
      <c r="BU506" s="110"/>
      <c r="BV506" s="110"/>
      <c r="BW506" s="110"/>
      <c r="BX506" s="110"/>
      <c r="BY506" s="110"/>
      <c r="BZ506" s="110"/>
      <c r="CA506" s="110"/>
      <c r="CB506" s="110"/>
      <c r="CC506" s="110"/>
    </row>
    <row r="507" spans="1:81" ht="12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/>
      <c r="AT507" s="110"/>
      <c r="AU507" s="110"/>
      <c r="AV507" s="110"/>
      <c r="AW507" s="110"/>
      <c r="AX507" s="110"/>
      <c r="AY507" s="110"/>
      <c r="AZ507" s="110"/>
      <c r="BA507" s="110"/>
      <c r="BB507" s="110"/>
      <c r="BC507" s="110"/>
      <c r="BD507" s="110"/>
      <c r="BE507" s="110"/>
      <c r="BF507" s="110"/>
      <c r="BG507" s="110"/>
      <c r="BH507" s="110"/>
      <c r="BI507" s="110"/>
      <c r="BJ507" s="110"/>
      <c r="BK507" s="110"/>
      <c r="BL507" s="110"/>
      <c r="BM507" s="110"/>
      <c r="BN507" s="110"/>
      <c r="BO507" s="110"/>
      <c r="BP507" s="110"/>
      <c r="BQ507" s="110"/>
      <c r="BR507" s="110"/>
      <c r="BS507" s="110"/>
      <c r="BT507" s="110"/>
      <c r="BU507" s="110"/>
      <c r="BV507" s="110"/>
      <c r="BW507" s="110"/>
      <c r="BX507" s="110"/>
      <c r="BY507" s="110"/>
      <c r="BZ507" s="110"/>
      <c r="CA507" s="110"/>
      <c r="CB507" s="110"/>
      <c r="CC507" s="110"/>
    </row>
    <row r="508" spans="1:81" ht="12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/>
      <c r="AT508" s="110"/>
      <c r="AU508" s="110"/>
      <c r="AV508" s="110"/>
      <c r="AW508" s="110"/>
      <c r="AX508" s="110"/>
      <c r="AY508" s="110"/>
      <c r="AZ508" s="110"/>
      <c r="BA508" s="110"/>
      <c r="BB508" s="110"/>
      <c r="BC508" s="110"/>
      <c r="BD508" s="110"/>
      <c r="BE508" s="110"/>
      <c r="BF508" s="110"/>
      <c r="BG508" s="110"/>
      <c r="BH508" s="110"/>
      <c r="BI508" s="110"/>
      <c r="BJ508" s="110"/>
      <c r="BK508" s="110"/>
      <c r="BL508" s="110"/>
      <c r="BM508" s="110"/>
      <c r="BN508" s="110"/>
      <c r="BO508" s="110"/>
      <c r="BP508" s="110"/>
      <c r="BQ508" s="110"/>
      <c r="BR508" s="110"/>
      <c r="BS508" s="110"/>
      <c r="BT508" s="110"/>
      <c r="BU508" s="110"/>
      <c r="BV508" s="110"/>
      <c r="BW508" s="110"/>
      <c r="BX508" s="110"/>
      <c r="BY508" s="110"/>
      <c r="BZ508" s="110"/>
      <c r="CA508" s="110"/>
      <c r="CB508" s="110"/>
      <c r="CC508" s="110"/>
    </row>
    <row r="509" spans="1:81" ht="12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/>
      <c r="AT509" s="110"/>
      <c r="AU509" s="110"/>
      <c r="AV509" s="110"/>
      <c r="AW509" s="110"/>
      <c r="AX509" s="110"/>
      <c r="AY509" s="110"/>
      <c r="AZ509" s="110"/>
      <c r="BA509" s="110"/>
      <c r="BB509" s="110"/>
      <c r="BC509" s="110"/>
      <c r="BD509" s="110"/>
      <c r="BE509" s="110"/>
      <c r="BF509" s="110"/>
      <c r="BG509" s="110"/>
      <c r="BH509" s="110"/>
      <c r="BI509" s="110"/>
      <c r="BJ509" s="110"/>
      <c r="BK509" s="110"/>
      <c r="BL509" s="110"/>
      <c r="BM509" s="110"/>
      <c r="BN509" s="110"/>
      <c r="BO509" s="110"/>
      <c r="BP509" s="110"/>
      <c r="BQ509" s="110"/>
      <c r="BR509" s="110"/>
      <c r="BS509" s="110"/>
      <c r="BT509" s="110"/>
      <c r="BU509" s="110"/>
      <c r="BV509" s="110"/>
      <c r="BW509" s="110"/>
      <c r="BX509" s="110"/>
      <c r="BY509" s="110"/>
      <c r="BZ509" s="110"/>
      <c r="CA509" s="110"/>
      <c r="CB509" s="110"/>
      <c r="CC509" s="110"/>
    </row>
    <row r="510" spans="1:81" ht="12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  <c r="AU510" s="110"/>
      <c r="AV510" s="110"/>
      <c r="AW510" s="110"/>
      <c r="AX510" s="110"/>
      <c r="AY510" s="110"/>
      <c r="AZ510" s="110"/>
      <c r="BA510" s="110"/>
      <c r="BB510" s="110"/>
      <c r="BC510" s="110"/>
      <c r="BD510" s="110"/>
      <c r="BE510" s="110"/>
      <c r="BF510" s="110"/>
      <c r="BG510" s="110"/>
      <c r="BH510" s="110"/>
      <c r="BI510" s="110"/>
      <c r="BJ510" s="110"/>
      <c r="BK510" s="110"/>
      <c r="BL510" s="110"/>
      <c r="BM510" s="110"/>
      <c r="BN510" s="110"/>
      <c r="BO510" s="110"/>
      <c r="BP510" s="110"/>
      <c r="BQ510" s="110"/>
      <c r="BR510" s="110"/>
      <c r="BS510" s="110"/>
      <c r="BT510" s="110"/>
      <c r="BU510" s="110"/>
      <c r="BV510" s="110"/>
      <c r="BW510" s="110"/>
      <c r="BX510" s="110"/>
      <c r="BY510" s="110"/>
      <c r="BZ510" s="110"/>
      <c r="CA510" s="110"/>
      <c r="CB510" s="110"/>
      <c r="CC510" s="110"/>
    </row>
    <row r="511" spans="1:81" ht="12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  <c r="AS511" s="110"/>
      <c r="AT511" s="110"/>
      <c r="AU511" s="110"/>
      <c r="AV511" s="110"/>
      <c r="AW511" s="110"/>
      <c r="AX511" s="110"/>
      <c r="AY511" s="110"/>
      <c r="AZ511" s="110"/>
      <c r="BA511" s="110"/>
      <c r="BB511" s="110"/>
      <c r="BC511" s="110"/>
      <c r="BD511" s="110"/>
      <c r="BE511" s="110"/>
      <c r="BF511" s="110"/>
      <c r="BG511" s="110"/>
      <c r="BH511" s="110"/>
      <c r="BI511" s="110"/>
      <c r="BJ511" s="110"/>
      <c r="BK511" s="110"/>
      <c r="BL511" s="110"/>
      <c r="BM511" s="110"/>
      <c r="BN511" s="110"/>
      <c r="BO511" s="110"/>
      <c r="BP511" s="110"/>
      <c r="BQ511" s="110"/>
      <c r="BR511" s="110"/>
      <c r="BS511" s="110"/>
      <c r="BT511" s="110"/>
      <c r="BU511" s="110"/>
      <c r="BV511" s="110"/>
      <c r="BW511" s="110"/>
      <c r="BX511" s="110"/>
      <c r="BY511" s="110"/>
      <c r="BZ511" s="110"/>
      <c r="CA511" s="110"/>
      <c r="CB511" s="110"/>
      <c r="CC511" s="110"/>
    </row>
    <row r="512" spans="1:81" ht="12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  <c r="AU512" s="110"/>
      <c r="AV512" s="110"/>
      <c r="AW512" s="110"/>
      <c r="AX512" s="110"/>
      <c r="AY512" s="110"/>
      <c r="AZ512" s="110"/>
      <c r="BA512" s="110"/>
      <c r="BB512" s="110"/>
      <c r="BC512" s="110"/>
      <c r="BD512" s="110"/>
      <c r="BE512" s="110"/>
      <c r="BF512" s="110"/>
      <c r="BG512" s="110"/>
      <c r="BH512" s="110"/>
      <c r="BI512" s="110"/>
      <c r="BJ512" s="110"/>
      <c r="BK512" s="110"/>
      <c r="BL512" s="110"/>
      <c r="BM512" s="110"/>
      <c r="BN512" s="110"/>
      <c r="BO512" s="110"/>
      <c r="BP512" s="110"/>
      <c r="BQ512" s="110"/>
      <c r="BR512" s="110"/>
      <c r="BS512" s="110"/>
      <c r="BT512" s="110"/>
      <c r="BU512" s="110"/>
      <c r="BV512" s="110"/>
      <c r="BW512" s="110"/>
      <c r="BX512" s="110"/>
      <c r="BY512" s="110"/>
      <c r="BZ512" s="110"/>
      <c r="CA512" s="110"/>
      <c r="CB512" s="110"/>
      <c r="CC512" s="110"/>
    </row>
    <row r="513" spans="1:81" ht="12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  <c r="AS513" s="110"/>
      <c r="AT513" s="110"/>
      <c r="AU513" s="110"/>
      <c r="AV513" s="110"/>
      <c r="AW513" s="110"/>
      <c r="AX513" s="110"/>
      <c r="AY513" s="110"/>
      <c r="AZ513" s="110"/>
      <c r="BA513" s="110"/>
      <c r="BB513" s="110"/>
      <c r="BC513" s="110"/>
      <c r="BD513" s="110"/>
      <c r="BE513" s="110"/>
      <c r="BF513" s="110"/>
      <c r="BG513" s="110"/>
      <c r="BH513" s="110"/>
      <c r="BI513" s="110"/>
      <c r="BJ513" s="110"/>
      <c r="BK513" s="110"/>
      <c r="BL513" s="110"/>
      <c r="BM513" s="110"/>
      <c r="BN513" s="110"/>
      <c r="BO513" s="110"/>
      <c r="BP513" s="110"/>
      <c r="BQ513" s="110"/>
      <c r="BR513" s="110"/>
      <c r="BS513" s="110"/>
      <c r="BT513" s="110"/>
      <c r="BU513" s="110"/>
      <c r="BV513" s="110"/>
      <c r="BW513" s="110"/>
      <c r="BX513" s="110"/>
      <c r="BY513" s="110"/>
      <c r="BZ513" s="110"/>
      <c r="CA513" s="110"/>
      <c r="CB513" s="110"/>
      <c r="CC513" s="110"/>
    </row>
    <row r="514" spans="1:81" ht="12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  <c r="AS514" s="110"/>
      <c r="AT514" s="110"/>
      <c r="AU514" s="110"/>
      <c r="AV514" s="110"/>
      <c r="AW514" s="110"/>
      <c r="AX514" s="110"/>
      <c r="AY514" s="110"/>
      <c r="AZ514" s="110"/>
      <c r="BA514" s="110"/>
      <c r="BB514" s="110"/>
      <c r="BC514" s="110"/>
      <c r="BD514" s="110"/>
      <c r="BE514" s="110"/>
      <c r="BF514" s="110"/>
      <c r="BG514" s="110"/>
      <c r="BH514" s="110"/>
      <c r="BI514" s="110"/>
      <c r="BJ514" s="110"/>
      <c r="BK514" s="110"/>
      <c r="BL514" s="110"/>
      <c r="BM514" s="110"/>
      <c r="BN514" s="110"/>
      <c r="BO514" s="110"/>
      <c r="BP514" s="110"/>
      <c r="BQ514" s="110"/>
      <c r="BR514" s="110"/>
      <c r="BS514" s="110"/>
      <c r="BT514" s="110"/>
      <c r="BU514" s="110"/>
      <c r="BV514" s="110"/>
      <c r="BW514" s="110"/>
      <c r="BX514" s="110"/>
      <c r="BY514" s="110"/>
      <c r="BZ514" s="110"/>
      <c r="CA514" s="110"/>
      <c r="CB514" s="110"/>
      <c r="CC514" s="110"/>
    </row>
    <row r="515" spans="1:81" ht="12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  <c r="AS515" s="110"/>
      <c r="AT515" s="110"/>
      <c r="AU515" s="110"/>
      <c r="AV515" s="110"/>
      <c r="AW515" s="110"/>
      <c r="AX515" s="110"/>
      <c r="AY515" s="110"/>
      <c r="AZ515" s="110"/>
      <c r="BA515" s="110"/>
      <c r="BB515" s="110"/>
      <c r="BC515" s="110"/>
      <c r="BD515" s="110"/>
      <c r="BE515" s="110"/>
      <c r="BF515" s="110"/>
      <c r="BG515" s="110"/>
      <c r="BH515" s="110"/>
      <c r="BI515" s="110"/>
      <c r="BJ515" s="110"/>
      <c r="BK515" s="110"/>
      <c r="BL515" s="110"/>
      <c r="BM515" s="110"/>
      <c r="BN515" s="110"/>
      <c r="BO515" s="110"/>
      <c r="BP515" s="110"/>
      <c r="BQ515" s="110"/>
      <c r="BR515" s="110"/>
      <c r="BS515" s="110"/>
      <c r="BT515" s="110"/>
      <c r="BU515" s="110"/>
      <c r="BV515" s="110"/>
      <c r="BW515" s="110"/>
      <c r="BX515" s="110"/>
      <c r="BY515" s="110"/>
      <c r="BZ515" s="110"/>
      <c r="CA515" s="110"/>
      <c r="CB515" s="110"/>
      <c r="CC515" s="110"/>
    </row>
    <row r="516" spans="1:81" ht="12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  <c r="AS516" s="110"/>
      <c r="AT516" s="110"/>
      <c r="AU516" s="110"/>
      <c r="AV516" s="110"/>
      <c r="AW516" s="110"/>
      <c r="AX516" s="110"/>
      <c r="AY516" s="110"/>
      <c r="AZ516" s="110"/>
      <c r="BA516" s="110"/>
      <c r="BB516" s="110"/>
      <c r="BC516" s="110"/>
      <c r="BD516" s="110"/>
      <c r="BE516" s="110"/>
      <c r="BF516" s="110"/>
      <c r="BG516" s="110"/>
      <c r="BH516" s="110"/>
      <c r="BI516" s="110"/>
      <c r="BJ516" s="110"/>
      <c r="BK516" s="110"/>
      <c r="BL516" s="110"/>
      <c r="BM516" s="110"/>
      <c r="BN516" s="110"/>
      <c r="BO516" s="110"/>
      <c r="BP516" s="110"/>
      <c r="BQ516" s="110"/>
      <c r="BR516" s="110"/>
      <c r="BS516" s="110"/>
      <c r="BT516" s="110"/>
      <c r="BU516" s="110"/>
      <c r="BV516" s="110"/>
      <c r="BW516" s="110"/>
      <c r="BX516" s="110"/>
      <c r="BY516" s="110"/>
      <c r="BZ516" s="110"/>
      <c r="CA516" s="110"/>
      <c r="CB516" s="110"/>
      <c r="CC516" s="110"/>
    </row>
    <row r="517" spans="1:81" ht="12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  <c r="AU517" s="110"/>
      <c r="AV517" s="110"/>
      <c r="AW517" s="110"/>
      <c r="AX517" s="110"/>
      <c r="AY517" s="110"/>
      <c r="AZ517" s="110"/>
      <c r="BA517" s="110"/>
      <c r="BB517" s="110"/>
      <c r="BC517" s="110"/>
      <c r="BD517" s="110"/>
      <c r="BE517" s="110"/>
      <c r="BF517" s="110"/>
      <c r="BG517" s="110"/>
      <c r="BH517" s="110"/>
      <c r="BI517" s="110"/>
      <c r="BJ517" s="110"/>
      <c r="BK517" s="110"/>
      <c r="BL517" s="110"/>
      <c r="BM517" s="110"/>
      <c r="BN517" s="110"/>
      <c r="BO517" s="110"/>
      <c r="BP517" s="110"/>
      <c r="BQ517" s="110"/>
      <c r="BR517" s="110"/>
      <c r="BS517" s="110"/>
      <c r="BT517" s="110"/>
      <c r="BU517" s="110"/>
      <c r="BV517" s="110"/>
      <c r="BW517" s="110"/>
      <c r="BX517" s="110"/>
      <c r="BY517" s="110"/>
      <c r="BZ517" s="110"/>
      <c r="CA517" s="110"/>
      <c r="CB517" s="110"/>
      <c r="CC517" s="110"/>
    </row>
    <row r="518" spans="1:81" ht="12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  <c r="AS518" s="110"/>
      <c r="AT518" s="110"/>
      <c r="AU518" s="110"/>
      <c r="AV518" s="110"/>
      <c r="AW518" s="110"/>
      <c r="AX518" s="110"/>
      <c r="AY518" s="110"/>
      <c r="AZ518" s="110"/>
      <c r="BA518" s="110"/>
      <c r="BB518" s="110"/>
      <c r="BC518" s="110"/>
      <c r="BD518" s="110"/>
      <c r="BE518" s="110"/>
      <c r="BF518" s="110"/>
      <c r="BG518" s="110"/>
      <c r="BH518" s="110"/>
      <c r="BI518" s="110"/>
      <c r="BJ518" s="110"/>
      <c r="BK518" s="110"/>
      <c r="BL518" s="110"/>
      <c r="BM518" s="110"/>
      <c r="BN518" s="110"/>
      <c r="BO518" s="110"/>
      <c r="BP518" s="110"/>
      <c r="BQ518" s="110"/>
      <c r="BR518" s="110"/>
      <c r="BS518" s="110"/>
      <c r="BT518" s="110"/>
      <c r="BU518" s="110"/>
      <c r="BV518" s="110"/>
      <c r="BW518" s="110"/>
      <c r="BX518" s="110"/>
      <c r="BY518" s="110"/>
      <c r="BZ518" s="110"/>
      <c r="CA518" s="110"/>
      <c r="CB518" s="110"/>
      <c r="CC518" s="110"/>
    </row>
    <row r="519" spans="1:81" ht="12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  <c r="AS519" s="110"/>
      <c r="AT519" s="110"/>
      <c r="AU519" s="110"/>
      <c r="AV519" s="110"/>
      <c r="AW519" s="110"/>
      <c r="AX519" s="110"/>
      <c r="AY519" s="110"/>
      <c r="AZ519" s="110"/>
      <c r="BA519" s="110"/>
      <c r="BB519" s="110"/>
      <c r="BC519" s="110"/>
      <c r="BD519" s="110"/>
      <c r="BE519" s="110"/>
      <c r="BF519" s="110"/>
      <c r="BG519" s="110"/>
      <c r="BH519" s="110"/>
      <c r="BI519" s="110"/>
      <c r="BJ519" s="110"/>
      <c r="BK519" s="110"/>
      <c r="BL519" s="110"/>
      <c r="BM519" s="110"/>
      <c r="BN519" s="110"/>
      <c r="BO519" s="110"/>
      <c r="BP519" s="110"/>
      <c r="BQ519" s="110"/>
      <c r="BR519" s="110"/>
      <c r="BS519" s="110"/>
      <c r="BT519" s="110"/>
      <c r="BU519" s="110"/>
      <c r="BV519" s="110"/>
      <c r="BW519" s="110"/>
      <c r="BX519" s="110"/>
      <c r="BY519" s="110"/>
      <c r="BZ519" s="110"/>
      <c r="CA519" s="110"/>
      <c r="CB519" s="110"/>
      <c r="CC519" s="110"/>
    </row>
    <row r="520" spans="1:81" ht="12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  <c r="AS520" s="110"/>
      <c r="AT520" s="110"/>
      <c r="AU520" s="110"/>
      <c r="AV520" s="110"/>
      <c r="AW520" s="110"/>
      <c r="AX520" s="110"/>
      <c r="AY520" s="110"/>
      <c r="AZ520" s="110"/>
      <c r="BA520" s="110"/>
      <c r="BB520" s="110"/>
      <c r="BC520" s="110"/>
      <c r="BD520" s="110"/>
      <c r="BE520" s="110"/>
      <c r="BF520" s="110"/>
      <c r="BG520" s="110"/>
      <c r="BH520" s="110"/>
      <c r="BI520" s="110"/>
      <c r="BJ520" s="110"/>
      <c r="BK520" s="110"/>
      <c r="BL520" s="110"/>
      <c r="BM520" s="110"/>
      <c r="BN520" s="110"/>
      <c r="BO520" s="110"/>
      <c r="BP520" s="110"/>
      <c r="BQ520" s="110"/>
      <c r="BR520" s="110"/>
      <c r="BS520" s="110"/>
      <c r="BT520" s="110"/>
      <c r="BU520" s="110"/>
      <c r="BV520" s="110"/>
      <c r="BW520" s="110"/>
      <c r="BX520" s="110"/>
      <c r="BY520" s="110"/>
      <c r="BZ520" s="110"/>
      <c r="CA520" s="110"/>
      <c r="CB520" s="110"/>
      <c r="CC520" s="110"/>
    </row>
    <row r="521" spans="1:81" ht="12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  <c r="AS521" s="110"/>
      <c r="AT521" s="110"/>
      <c r="AU521" s="110"/>
      <c r="AV521" s="110"/>
      <c r="AW521" s="110"/>
      <c r="AX521" s="110"/>
      <c r="AY521" s="110"/>
      <c r="AZ521" s="110"/>
      <c r="BA521" s="110"/>
      <c r="BB521" s="110"/>
      <c r="BC521" s="110"/>
      <c r="BD521" s="110"/>
      <c r="BE521" s="110"/>
      <c r="BF521" s="110"/>
      <c r="BG521" s="110"/>
      <c r="BH521" s="110"/>
      <c r="BI521" s="110"/>
      <c r="BJ521" s="110"/>
      <c r="BK521" s="110"/>
      <c r="BL521" s="110"/>
      <c r="BM521" s="110"/>
      <c r="BN521" s="110"/>
      <c r="BO521" s="110"/>
      <c r="BP521" s="110"/>
      <c r="BQ521" s="110"/>
      <c r="BR521" s="110"/>
      <c r="BS521" s="110"/>
      <c r="BT521" s="110"/>
      <c r="BU521" s="110"/>
      <c r="BV521" s="110"/>
      <c r="BW521" s="110"/>
      <c r="BX521" s="110"/>
      <c r="BY521" s="110"/>
      <c r="BZ521" s="110"/>
      <c r="CA521" s="110"/>
      <c r="CB521" s="110"/>
      <c r="CC521" s="110"/>
    </row>
    <row r="522" spans="1:81" ht="12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  <c r="AS522" s="110"/>
      <c r="AT522" s="110"/>
      <c r="AU522" s="110"/>
      <c r="AV522" s="110"/>
      <c r="AW522" s="110"/>
      <c r="AX522" s="110"/>
      <c r="AY522" s="110"/>
      <c r="AZ522" s="110"/>
      <c r="BA522" s="110"/>
      <c r="BB522" s="110"/>
      <c r="BC522" s="110"/>
      <c r="BD522" s="110"/>
      <c r="BE522" s="110"/>
      <c r="BF522" s="110"/>
      <c r="BG522" s="110"/>
      <c r="BH522" s="110"/>
      <c r="BI522" s="110"/>
      <c r="BJ522" s="110"/>
      <c r="BK522" s="110"/>
      <c r="BL522" s="110"/>
      <c r="BM522" s="110"/>
      <c r="BN522" s="110"/>
      <c r="BO522" s="110"/>
      <c r="BP522" s="110"/>
      <c r="BQ522" s="110"/>
      <c r="BR522" s="110"/>
      <c r="BS522" s="110"/>
      <c r="BT522" s="110"/>
      <c r="BU522" s="110"/>
      <c r="BV522" s="110"/>
      <c r="BW522" s="110"/>
      <c r="BX522" s="110"/>
      <c r="BY522" s="110"/>
      <c r="BZ522" s="110"/>
      <c r="CA522" s="110"/>
      <c r="CB522" s="110"/>
      <c r="CC522" s="110"/>
    </row>
    <row r="523" spans="1:81" ht="12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  <c r="AS523" s="110"/>
      <c r="AT523" s="110"/>
      <c r="AU523" s="110"/>
      <c r="AV523" s="110"/>
      <c r="AW523" s="110"/>
      <c r="AX523" s="110"/>
      <c r="AY523" s="110"/>
      <c r="AZ523" s="110"/>
      <c r="BA523" s="110"/>
      <c r="BB523" s="110"/>
      <c r="BC523" s="110"/>
      <c r="BD523" s="110"/>
      <c r="BE523" s="110"/>
      <c r="BF523" s="110"/>
      <c r="BG523" s="110"/>
      <c r="BH523" s="110"/>
      <c r="BI523" s="110"/>
      <c r="BJ523" s="110"/>
      <c r="BK523" s="110"/>
      <c r="BL523" s="110"/>
      <c r="BM523" s="110"/>
      <c r="BN523" s="110"/>
      <c r="BO523" s="110"/>
      <c r="BP523" s="110"/>
      <c r="BQ523" s="110"/>
      <c r="BR523" s="110"/>
      <c r="BS523" s="110"/>
      <c r="BT523" s="110"/>
      <c r="BU523" s="110"/>
      <c r="BV523" s="110"/>
      <c r="BW523" s="110"/>
      <c r="BX523" s="110"/>
      <c r="BY523" s="110"/>
      <c r="BZ523" s="110"/>
      <c r="CA523" s="110"/>
      <c r="CB523" s="110"/>
      <c r="CC523" s="110"/>
    </row>
    <row r="524" spans="1:81" ht="12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  <c r="AU524" s="110"/>
      <c r="AV524" s="110"/>
      <c r="AW524" s="110"/>
      <c r="AX524" s="110"/>
      <c r="AY524" s="110"/>
      <c r="AZ524" s="110"/>
      <c r="BA524" s="110"/>
      <c r="BB524" s="110"/>
      <c r="BC524" s="110"/>
      <c r="BD524" s="110"/>
      <c r="BE524" s="110"/>
      <c r="BF524" s="110"/>
      <c r="BG524" s="110"/>
      <c r="BH524" s="110"/>
      <c r="BI524" s="110"/>
      <c r="BJ524" s="110"/>
      <c r="BK524" s="110"/>
      <c r="BL524" s="110"/>
      <c r="BM524" s="110"/>
      <c r="BN524" s="110"/>
      <c r="BO524" s="110"/>
      <c r="BP524" s="110"/>
      <c r="BQ524" s="110"/>
      <c r="BR524" s="110"/>
      <c r="BS524" s="110"/>
      <c r="BT524" s="110"/>
      <c r="BU524" s="110"/>
      <c r="BV524" s="110"/>
      <c r="BW524" s="110"/>
      <c r="BX524" s="110"/>
      <c r="BY524" s="110"/>
      <c r="BZ524" s="110"/>
      <c r="CA524" s="110"/>
      <c r="CB524" s="110"/>
      <c r="CC524" s="110"/>
    </row>
    <row r="525" spans="1:81" ht="12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  <c r="AS525" s="110"/>
      <c r="AT525" s="110"/>
      <c r="AU525" s="110"/>
      <c r="AV525" s="110"/>
      <c r="AW525" s="110"/>
      <c r="AX525" s="110"/>
      <c r="AY525" s="110"/>
      <c r="AZ525" s="110"/>
      <c r="BA525" s="110"/>
      <c r="BB525" s="110"/>
      <c r="BC525" s="110"/>
      <c r="BD525" s="110"/>
      <c r="BE525" s="110"/>
      <c r="BF525" s="110"/>
      <c r="BG525" s="110"/>
      <c r="BH525" s="110"/>
      <c r="BI525" s="110"/>
      <c r="BJ525" s="110"/>
      <c r="BK525" s="110"/>
      <c r="BL525" s="110"/>
      <c r="BM525" s="110"/>
      <c r="BN525" s="110"/>
      <c r="BO525" s="110"/>
      <c r="BP525" s="110"/>
      <c r="BQ525" s="110"/>
      <c r="BR525" s="110"/>
      <c r="BS525" s="110"/>
      <c r="BT525" s="110"/>
      <c r="BU525" s="110"/>
      <c r="BV525" s="110"/>
      <c r="BW525" s="110"/>
      <c r="BX525" s="110"/>
      <c r="BY525" s="110"/>
      <c r="BZ525" s="110"/>
      <c r="CA525" s="110"/>
      <c r="CB525" s="110"/>
      <c r="CC525" s="110"/>
    </row>
    <row r="526" spans="1:81" ht="12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  <c r="AS526" s="110"/>
      <c r="AT526" s="110"/>
      <c r="AU526" s="110"/>
      <c r="AV526" s="110"/>
      <c r="AW526" s="110"/>
      <c r="AX526" s="110"/>
      <c r="AY526" s="110"/>
      <c r="AZ526" s="110"/>
      <c r="BA526" s="110"/>
      <c r="BB526" s="110"/>
      <c r="BC526" s="110"/>
      <c r="BD526" s="110"/>
      <c r="BE526" s="110"/>
      <c r="BF526" s="110"/>
      <c r="BG526" s="110"/>
      <c r="BH526" s="110"/>
      <c r="BI526" s="110"/>
      <c r="BJ526" s="110"/>
      <c r="BK526" s="110"/>
      <c r="BL526" s="110"/>
      <c r="BM526" s="110"/>
      <c r="BN526" s="110"/>
      <c r="BO526" s="110"/>
      <c r="BP526" s="110"/>
      <c r="BQ526" s="110"/>
      <c r="BR526" s="110"/>
      <c r="BS526" s="110"/>
      <c r="BT526" s="110"/>
      <c r="BU526" s="110"/>
      <c r="BV526" s="110"/>
      <c r="BW526" s="110"/>
      <c r="BX526" s="110"/>
      <c r="BY526" s="110"/>
      <c r="BZ526" s="110"/>
      <c r="CA526" s="110"/>
      <c r="CB526" s="110"/>
      <c r="CC526" s="110"/>
    </row>
    <row r="527" spans="1:81" ht="12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  <c r="AS527" s="110"/>
      <c r="AT527" s="110"/>
      <c r="AU527" s="110"/>
      <c r="AV527" s="110"/>
      <c r="AW527" s="110"/>
      <c r="AX527" s="110"/>
      <c r="AY527" s="110"/>
      <c r="AZ527" s="110"/>
      <c r="BA527" s="110"/>
      <c r="BB527" s="110"/>
      <c r="BC527" s="110"/>
      <c r="BD527" s="110"/>
      <c r="BE527" s="110"/>
      <c r="BF527" s="110"/>
      <c r="BG527" s="110"/>
      <c r="BH527" s="110"/>
      <c r="BI527" s="110"/>
      <c r="BJ527" s="110"/>
      <c r="BK527" s="110"/>
      <c r="BL527" s="110"/>
      <c r="BM527" s="110"/>
      <c r="BN527" s="110"/>
      <c r="BO527" s="110"/>
      <c r="BP527" s="110"/>
      <c r="BQ527" s="110"/>
      <c r="BR527" s="110"/>
      <c r="BS527" s="110"/>
      <c r="BT527" s="110"/>
      <c r="BU527" s="110"/>
      <c r="BV527" s="110"/>
      <c r="BW527" s="110"/>
      <c r="BX527" s="110"/>
      <c r="BY527" s="110"/>
      <c r="BZ527" s="110"/>
      <c r="CA527" s="110"/>
      <c r="CB527" s="110"/>
      <c r="CC527" s="110"/>
    </row>
    <row r="528" spans="1:81" ht="12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  <c r="AS528" s="110"/>
      <c r="AT528" s="110"/>
      <c r="AU528" s="110"/>
      <c r="AV528" s="110"/>
      <c r="AW528" s="110"/>
      <c r="AX528" s="110"/>
      <c r="AY528" s="110"/>
      <c r="AZ528" s="110"/>
      <c r="BA528" s="110"/>
      <c r="BB528" s="110"/>
      <c r="BC528" s="110"/>
      <c r="BD528" s="110"/>
      <c r="BE528" s="110"/>
      <c r="BF528" s="110"/>
      <c r="BG528" s="110"/>
      <c r="BH528" s="110"/>
      <c r="BI528" s="110"/>
      <c r="BJ528" s="110"/>
      <c r="BK528" s="110"/>
      <c r="BL528" s="110"/>
      <c r="BM528" s="110"/>
      <c r="BN528" s="110"/>
      <c r="BO528" s="110"/>
      <c r="BP528" s="110"/>
      <c r="BQ528" s="110"/>
      <c r="BR528" s="110"/>
      <c r="BS528" s="110"/>
      <c r="BT528" s="110"/>
      <c r="BU528" s="110"/>
      <c r="BV528" s="110"/>
      <c r="BW528" s="110"/>
      <c r="BX528" s="110"/>
      <c r="BY528" s="110"/>
      <c r="BZ528" s="110"/>
      <c r="CA528" s="110"/>
      <c r="CB528" s="110"/>
      <c r="CC528" s="110"/>
    </row>
    <row r="529" spans="1:81" ht="12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  <c r="AU529" s="110"/>
      <c r="AV529" s="110"/>
      <c r="AW529" s="110"/>
      <c r="AX529" s="110"/>
      <c r="AY529" s="110"/>
      <c r="AZ529" s="110"/>
      <c r="BA529" s="110"/>
      <c r="BB529" s="110"/>
      <c r="BC529" s="110"/>
      <c r="BD529" s="110"/>
      <c r="BE529" s="110"/>
      <c r="BF529" s="110"/>
      <c r="BG529" s="110"/>
      <c r="BH529" s="110"/>
      <c r="BI529" s="110"/>
      <c r="BJ529" s="110"/>
      <c r="BK529" s="110"/>
      <c r="BL529" s="110"/>
      <c r="BM529" s="110"/>
      <c r="BN529" s="110"/>
      <c r="BO529" s="110"/>
      <c r="BP529" s="110"/>
      <c r="BQ529" s="110"/>
      <c r="BR529" s="110"/>
      <c r="BS529" s="110"/>
      <c r="BT529" s="110"/>
      <c r="BU529" s="110"/>
      <c r="BV529" s="110"/>
      <c r="BW529" s="110"/>
      <c r="BX529" s="110"/>
      <c r="BY529" s="110"/>
      <c r="BZ529" s="110"/>
      <c r="CA529" s="110"/>
      <c r="CB529" s="110"/>
      <c r="CC529" s="110"/>
    </row>
    <row r="530" spans="1:81" ht="12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  <c r="AS530" s="110"/>
      <c r="AT530" s="110"/>
      <c r="AU530" s="110"/>
      <c r="AV530" s="110"/>
      <c r="AW530" s="110"/>
      <c r="AX530" s="110"/>
      <c r="AY530" s="110"/>
      <c r="AZ530" s="110"/>
      <c r="BA530" s="110"/>
      <c r="BB530" s="110"/>
      <c r="BC530" s="110"/>
      <c r="BD530" s="110"/>
      <c r="BE530" s="110"/>
      <c r="BF530" s="110"/>
      <c r="BG530" s="110"/>
      <c r="BH530" s="110"/>
      <c r="BI530" s="110"/>
      <c r="BJ530" s="110"/>
      <c r="BK530" s="110"/>
      <c r="BL530" s="110"/>
      <c r="BM530" s="110"/>
      <c r="BN530" s="110"/>
      <c r="BO530" s="110"/>
      <c r="BP530" s="110"/>
      <c r="BQ530" s="110"/>
      <c r="BR530" s="110"/>
      <c r="BS530" s="110"/>
      <c r="BT530" s="110"/>
      <c r="BU530" s="110"/>
      <c r="BV530" s="110"/>
      <c r="BW530" s="110"/>
      <c r="BX530" s="110"/>
      <c r="BY530" s="110"/>
      <c r="BZ530" s="110"/>
      <c r="CA530" s="110"/>
      <c r="CB530" s="110"/>
      <c r="CC530" s="110"/>
    </row>
    <row r="531" spans="1:81" ht="12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  <c r="AS531" s="110"/>
      <c r="AT531" s="110"/>
      <c r="AU531" s="110"/>
      <c r="AV531" s="110"/>
      <c r="AW531" s="110"/>
      <c r="AX531" s="110"/>
      <c r="AY531" s="110"/>
      <c r="AZ531" s="110"/>
      <c r="BA531" s="110"/>
      <c r="BB531" s="110"/>
      <c r="BC531" s="110"/>
      <c r="BD531" s="110"/>
      <c r="BE531" s="110"/>
      <c r="BF531" s="110"/>
      <c r="BG531" s="110"/>
      <c r="BH531" s="110"/>
      <c r="BI531" s="110"/>
      <c r="BJ531" s="110"/>
      <c r="BK531" s="110"/>
      <c r="BL531" s="110"/>
      <c r="BM531" s="110"/>
      <c r="BN531" s="110"/>
      <c r="BO531" s="110"/>
      <c r="BP531" s="110"/>
      <c r="BQ531" s="110"/>
      <c r="BR531" s="110"/>
      <c r="BS531" s="110"/>
      <c r="BT531" s="110"/>
      <c r="BU531" s="110"/>
      <c r="BV531" s="110"/>
      <c r="BW531" s="110"/>
      <c r="BX531" s="110"/>
      <c r="BY531" s="110"/>
      <c r="BZ531" s="110"/>
      <c r="CA531" s="110"/>
      <c r="CB531" s="110"/>
      <c r="CC531" s="110"/>
    </row>
    <row r="532" spans="1:81" ht="12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  <c r="AS532" s="110"/>
      <c r="AT532" s="110"/>
      <c r="AU532" s="110"/>
      <c r="AV532" s="110"/>
      <c r="AW532" s="110"/>
      <c r="AX532" s="110"/>
      <c r="AY532" s="110"/>
      <c r="AZ532" s="110"/>
      <c r="BA532" s="110"/>
      <c r="BB532" s="110"/>
      <c r="BC532" s="110"/>
      <c r="BD532" s="110"/>
      <c r="BE532" s="110"/>
      <c r="BF532" s="110"/>
      <c r="BG532" s="110"/>
      <c r="BH532" s="110"/>
      <c r="BI532" s="110"/>
      <c r="BJ532" s="110"/>
      <c r="BK532" s="110"/>
      <c r="BL532" s="110"/>
      <c r="BM532" s="110"/>
      <c r="BN532" s="110"/>
      <c r="BO532" s="110"/>
      <c r="BP532" s="110"/>
      <c r="BQ532" s="110"/>
      <c r="BR532" s="110"/>
      <c r="BS532" s="110"/>
      <c r="BT532" s="110"/>
      <c r="BU532" s="110"/>
      <c r="BV532" s="110"/>
      <c r="BW532" s="110"/>
      <c r="BX532" s="110"/>
      <c r="BY532" s="110"/>
      <c r="BZ532" s="110"/>
      <c r="CA532" s="110"/>
      <c r="CB532" s="110"/>
      <c r="CC532" s="110"/>
    </row>
    <row r="533" spans="1:81" ht="12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  <c r="AS533" s="110"/>
      <c r="AT533" s="110"/>
      <c r="AU533" s="110"/>
      <c r="AV533" s="110"/>
      <c r="AW533" s="110"/>
      <c r="AX533" s="110"/>
      <c r="AY533" s="110"/>
      <c r="AZ533" s="110"/>
      <c r="BA533" s="110"/>
      <c r="BB533" s="110"/>
      <c r="BC533" s="110"/>
      <c r="BD533" s="110"/>
      <c r="BE533" s="110"/>
      <c r="BF533" s="110"/>
      <c r="BG533" s="110"/>
      <c r="BH533" s="110"/>
      <c r="BI533" s="110"/>
      <c r="BJ533" s="110"/>
      <c r="BK533" s="110"/>
      <c r="BL533" s="110"/>
      <c r="BM533" s="110"/>
      <c r="BN533" s="110"/>
      <c r="BO533" s="110"/>
      <c r="BP533" s="110"/>
      <c r="BQ533" s="110"/>
      <c r="BR533" s="110"/>
      <c r="BS533" s="110"/>
      <c r="BT533" s="110"/>
      <c r="BU533" s="110"/>
      <c r="BV533" s="110"/>
      <c r="BW533" s="110"/>
      <c r="BX533" s="110"/>
      <c r="BY533" s="110"/>
      <c r="BZ533" s="110"/>
      <c r="CA533" s="110"/>
      <c r="CB533" s="110"/>
      <c r="CC533" s="110"/>
    </row>
    <row r="534" spans="1:81" ht="12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  <c r="AS534" s="110"/>
      <c r="AT534" s="110"/>
      <c r="AU534" s="110"/>
      <c r="AV534" s="110"/>
      <c r="AW534" s="110"/>
      <c r="AX534" s="110"/>
      <c r="AY534" s="110"/>
      <c r="AZ534" s="110"/>
      <c r="BA534" s="110"/>
      <c r="BB534" s="110"/>
      <c r="BC534" s="110"/>
      <c r="BD534" s="110"/>
      <c r="BE534" s="110"/>
      <c r="BF534" s="110"/>
      <c r="BG534" s="110"/>
      <c r="BH534" s="110"/>
      <c r="BI534" s="110"/>
      <c r="BJ534" s="110"/>
      <c r="BK534" s="110"/>
      <c r="BL534" s="110"/>
      <c r="BM534" s="110"/>
      <c r="BN534" s="110"/>
      <c r="BO534" s="110"/>
      <c r="BP534" s="110"/>
      <c r="BQ534" s="110"/>
      <c r="BR534" s="110"/>
      <c r="BS534" s="110"/>
      <c r="BT534" s="110"/>
      <c r="BU534" s="110"/>
      <c r="BV534" s="110"/>
      <c r="BW534" s="110"/>
      <c r="BX534" s="110"/>
      <c r="BY534" s="110"/>
      <c r="BZ534" s="110"/>
      <c r="CA534" s="110"/>
      <c r="CB534" s="110"/>
      <c r="CC534" s="110"/>
    </row>
    <row r="535" spans="1:81" ht="12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  <c r="AV535" s="110"/>
      <c r="AW535" s="110"/>
      <c r="AX535" s="110"/>
      <c r="AY535" s="110"/>
      <c r="AZ535" s="110"/>
      <c r="BA535" s="110"/>
      <c r="BB535" s="110"/>
      <c r="BC535" s="110"/>
      <c r="BD535" s="110"/>
      <c r="BE535" s="110"/>
      <c r="BF535" s="110"/>
      <c r="BG535" s="110"/>
      <c r="BH535" s="110"/>
      <c r="BI535" s="110"/>
      <c r="BJ535" s="110"/>
      <c r="BK535" s="110"/>
      <c r="BL535" s="110"/>
      <c r="BM535" s="110"/>
      <c r="BN535" s="110"/>
      <c r="BO535" s="110"/>
      <c r="BP535" s="110"/>
      <c r="BQ535" s="110"/>
      <c r="BR535" s="110"/>
      <c r="BS535" s="110"/>
      <c r="BT535" s="110"/>
      <c r="BU535" s="110"/>
      <c r="BV535" s="110"/>
      <c r="BW535" s="110"/>
      <c r="BX535" s="110"/>
      <c r="BY535" s="110"/>
      <c r="BZ535" s="110"/>
      <c r="CA535" s="110"/>
      <c r="CB535" s="110"/>
      <c r="CC535" s="110"/>
    </row>
    <row r="536" spans="1:81" ht="12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  <c r="AS536" s="110"/>
      <c r="AT536" s="110"/>
      <c r="AU536" s="110"/>
      <c r="AV536" s="110"/>
      <c r="AW536" s="110"/>
      <c r="AX536" s="110"/>
      <c r="AY536" s="110"/>
      <c r="AZ536" s="110"/>
      <c r="BA536" s="110"/>
      <c r="BB536" s="110"/>
      <c r="BC536" s="110"/>
      <c r="BD536" s="110"/>
      <c r="BE536" s="110"/>
      <c r="BF536" s="110"/>
      <c r="BG536" s="110"/>
      <c r="BH536" s="110"/>
      <c r="BI536" s="110"/>
      <c r="BJ536" s="110"/>
      <c r="BK536" s="110"/>
      <c r="BL536" s="110"/>
      <c r="BM536" s="110"/>
      <c r="BN536" s="110"/>
      <c r="BO536" s="110"/>
      <c r="BP536" s="110"/>
      <c r="BQ536" s="110"/>
      <c r="BR536" s="110"/>
      <c r="BS536" s="110"/>
      <c r="BT536" s="110"/>
      <c r="BU536" s="110"/>
      <c r="BV536" s="110"/>
      <c r="BW536" s="110"/>
      <c r="BX536" s="110"/>
      <c r="BY536" s="110"/>
      <c r="BZ536" s="110"/>
      <c r="CA536" s="110"/>
      <c r="CB536" s="110"/>
      <c r="CC536" s="110"/>
    </row>
    <row r="537" spans="1:81" ht="12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  <c r="AS537" s="110"/>
      <c r="AT537" s="110"/>
      <c r="AU537" s="110"/>
      <c r="AV537" s="110"/>
      <c r="AW537" s="110"/>
      <c r="AX537" s="110"/>
      <c r="AY537" s="110"/>
      <c r="AZ537" s="110"/>
      <c r="BA537" s="110"/>
      <c r="BB537" s="110"/>
      <c r="BC537" s="110"/>
      <c r="BD537" s="110"/>
      <c r="BE537" s="110"/>
      <c r="BF537" s="110"/>
      <c r="BG537" s="110"/>
      <c r="BH537" s="110"/>
      <c r="BI537" s="110"/>
      <c r="BJ537" s="110"/>
      <c r="BK537" s="110"/>
      <c r="BL537" s="110"/>
      <c r="BM537" s="110"/>
      <c r="BN537" s="110"/>
      <c r="BO537" s="110"/>
      <c r="BP537" s="110"/>
      <c r="BQ537" s="110"/>
      <c r="BR537" s="110"/>
      <c r="BS537" s="110"/>
      <c r="BT537" s="110"/>
      <c r="BU537" s="110"/>
      <c r="BV537" s="110"/>
      <c r="BW537" s="110"/>
      <c r="BX537" s="110"/>
      <c r="BY537" s="110"/>
      <c r="BZ537" s="110"/>
      <c r="CA537" s="110"/>
      <c r="CB537" s="110"/>
      <c r="CC537" s="110"/>
    </row>
    <row r="538" spans="1:81" ht="12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  <c r="AS538" s="110"/>
      <c r="AT538" s="110"/>
      <c r="AU538" s="110"/>
      <c r="AV538" s="110"/>
      <c r="AW538" s="110"/>
      <c r="AX538" s="110"/>
      <c r="AY538" s="110"/>
      <c r="AZ538" s="110"/>
      <c r="BA538" s="110"/>
      <c r="BB538" s="110"/>
      <c r="BC538" s="110"/>
      <c r="BD538" s="110"/>
      <c r="BE538" s="110"/>
      <c r="BF538" s="110"/>
      <c r="BG538" s="110"/>
      <c r="BH538" s="110"/>
      <c r="BI538" s="110"/>
      <c r="BJ538" s="110"/>
      <c r="BK538" s="110"/>
      <c r="BL538" s="110"/>
      <c r="BM538" s="110"/>
      <c r="BN538" s="110"/>
      <c r="BO538" s="110"/>
      <c r="BP538" s="110"/>
      <c r="BQ538" s="110"/>
      <c r="BR538" s="110"/>
      <c r="BS538" s="110"/>
      <c r="BT538" s="110"/>
      <c r="BU538" s="110"/>
      <c r="BV538" s="110"/>
      <c r="BW538" s="110"/>
      <c r="BX538" s="110"/>
      <c r="BY538" s="110"/>
      <c r="BZ538" s="110"/>
      <c r="CA538" s="110"/>
      <c r="CB538" s="110"/>
      <c r="CC538" s="110"/>
    </row>
    <row r="539" spans="1:81" ht="12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  <c r="AS539" s="110"/>
      <c r="AT539" s="110"/>
      <c r="AU539" s="110"/>
      <c r="AV539" s="110"/>
      <c r="AW539" s="110"/>
      <c r="AX539" s="110"/>
      <c r="AY539" s="110"/>
      <c r="AZ539" s="110"/>
      <c r="BA539" s="110"/>
      <c r="BB539" s="110"/>
      <c r="BC539" s="110"/>
      <c r="BD539" s="110"/>
      <c r="BE539" s="110"/>
      <c r="BF539" s="110"/>
      <c r="BG539" s="110"/>
      <c r="BH539" s="110"/>
      <c r="BI539" s="110"/>
      <c r="BJ539" s="110"/>
      <c r="BK539" s="110"/>
      <c r="BL539" s="110"/>
      <c r="BM539" s="110"/>
      <c r="BN539" s="110"/>
      <c r="BO539" s="110"/>
      <c r="BP539" s="110"/>
      <c r="BQ539" s="110"/>
      <c r="BR539" s="110"/>
      <c r="BS539" s="110"/>
      <c r="BT539" s="110"/>
      <c r="BU539" s="110"/>
      <c r="BV539" s="110"/>
      <c r="BW539" s="110"/>
      <c r="BX539" s="110"/>
      <c r="BY539" s="110"/>
      <c r="BZ539" s="110"/>
      <c r="CA539" s="110"/>
      <c r="CB539" s="110"/>
      <c r="CC539" s="110"/>
    </row>
    <row r="540" spans="1:81" ht="12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  <c r="AS540" s="110"/>
      <c r="AT540" s="110"/>
      <c r="AU540" s="110"/>
      <c r="AV540" s="110"/>
      <c r="AW540" s="110"/>
      <c r="AX540" s="110"/>
      <c r="AY540" s="110"/>
      <c r="AZ540" s="110"/>
      <c r="BA540" s="110"/>
      <c r="BB540" s="110"/>
      <c r="BC540" s="110"/>
      <c r="BD540" s="110"/>
      <c r="BE540" s="110"/>
      <c r="BF540" s="110"/>
      <c r="BG540" s="110"/>
      <c r="BH540" s="110"/>
      <c r="BI540" s="110"/>
      <c r="BJ540" s="110"/>
      <c r="BK540" s="110"/>
      <c r="BL540" s="110"/>
      <c r="BM540" s="110"/>
      <c r="BN540" s="110"/>
      <c r="BO540" s="110"/>
      <c r="BP540" s="110"/>
      <c r="BQ540" s="110"/>
      <c r="BR540" s="110"/>
      <c r="BS540" s="110"/>
      <c r="BT540" s="110"/>
      <c r="BU540" s="110"/>
      <c r="BV540" s="110"/>
      <c r="BW540" s="110"/>
      <c r="BX540" s="110"/>
      <c r="BY540" s="110"/>
      <c r="BZ540" s="110"/>
      <c r="CA540" s="110"/>
      <c r="CB540" s="110"/>
      <c r="CC540" s="110"/>
    </row>
    <row r="541" spans="1:81" ht="12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  <c r="AS541" s="110"/>
      <c r="AT541" s="110"/>
      <c r="AU541" s="110"/>
      <c r="AV541" s="110"/>
      <c r="AW541" s="110"/>
      <c r="AX541" s="110"/>
      <c r="AY541" s="110"/>
      <c r="AZ541" s="110"/>
      <c r="BA541" s="110"/>
      <c r="BB541" s="110"/>
      <c r="BC541" s="110"/>
      <c r="BD541" s="110"/>
      <c r="BE541" s="110"/>
      <c r="BF541" s="110"/>
      <c r="BG541" s="110"/>
      <c r="BH541" s="110"/>
      <c r="BI541" s="110"/>
      <c r="BJ541" s="110"/>
      <c r="BK541" s="110"/>
      <c r="BL541" s="110"/>
      <c r="BM541" s="110"/>
      <c r="BN541" s="110"/>
      <c r="BO541" s="110"/>
      <c r="BP541" s="110"/>
      <c r="BQ541" s="110"/>
      <c r="BR541" s="110"/>
      <c r="BS541" s="110"/>
      <c r="BT541" s="110"/>
      <c r="BU541" s="110"/>
      <c r="BV541" s="110"/>
      <c r="BW541" s="110"/>
      <c r="BX541" s="110"/>
      <c r="BY541" s="110"/>
      <c r="BZ541" s="110"/>
      <c r="CA541" s="110"/>
      <c r="CB541" s="110"/>
      <c r="CC541" s="110"/>
    </row>
    <row r="542" spans="1:81" ht="12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  <c r="AS542" s="110"/>
      <c r="AT542" s="110"/>
      <c r="AU542" s="110"/>
      <c r="AV542" s="110"/>
      <c r="AW542" s="110"/>
      <c r="AX542" s="110"/>
      <c r="AY542" s="110"/>
      <c r="AZ542" s="110"/>
      <c r="BA542" s="110"/>
      <c r="BB542" s="110"/>
      <c r="BC542" s="110"/>
      <c r="BD542" s="110"/>
      <c r="BE542" s="110"/>
      <c r="BF542" s="110"/>
      <c r="BG542" s="110"/>
      <c r="BH542" s="110"/>
      <c r="BI542" s="110"/>
      <c r="BJ542" s="110"/>
      <c r="BK542" s="110"/>
      <c r="BL542" s="110"/>
      <c r="BM542" s="110"/>
      <c r="BN542" s="110"/>
      <c r="BO542" s="110"/>
      <c r="BP542" s="110"/>
      <c r="BQ542" s="110"/>
      <c r="BR542" s="110"/>
      <c r="BS542" s="110"/>
      <c r="BT542" s="110"/>
      <c r="BU542" s="110"/>
      <c r="BV542" s="110"/>
      <c r="BW542" s="110"/>
      <c r="BX542" s="110"/>
      <c r="BY542" s="110"/>
      <c r="BZ542" s="110"/>
      <c r="CA542" s="110"/>
      <c r="CB542" s="110"/>
      <c r="CC542" s="110"/>
    </row>
    <row r="543" spans="1:81" ht="12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  <c r="AS543" s="110"/>
      <c r="AT543" s="110"/>
      <c r="AU543" s="110"/>
      <c r="AV543" s="110"/>
      <c r="AW543" s="110"/>
      <c r="AX543" s="110"/>
      <c r="AY543" s="110"/>
      <c r="AZ543" s="110"/>
      <c r="BA543" s="110"/>
      <c r="BB543" s="110"/>
      <c r="BC543" s="110"/>
      <c r="BD543" s="110"/>
      <c r="BE543" s="110"/>
      <c r="BF543" s="110"/>
      <c r="BG543" s="110"/>
      <c r="BH543" s="110"/>
      <c r="BI543" s="110"/>
      <c r="BJ543" s="110"/>
      <c r="BK543" s="110"/>
      <c r="BL543" s="110"/>
      <c r="BM543" s="110"/>
      <c r="BN543" s="110"/>
      <c r="BO543" s="110"/>
      <c r="BP543" s="110"/>
      <c r="BQ543" s="110"/>
      <c r="BR543" s="110"/>
      <c r="BS543" s="110"/>
      <c r="BT543" s="110"/>
      <c r="BU543" s="110"/>
      <c r="BV543" s="110"/>
      <c r="BW543" s="110"/>
      <c r="BX543" s="110"/>
      <c r="BY543" s="110"/>
      <c r="BZ543" s="110"/>
      <c r="CA543" s="110"/>
      <c r="CB543" s="110"/>
      <c r="CC543" s="110"/>
    </row>
    <row r="544" spans="1:81" ht="12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  <c r="AS544" s="110"/>
      <c r="AT544" s="110"/>
      <c r="AU544" s="110"/>
      <c r="AV544" s="110"/>
      <c r="AW544" s="110"/>
      <c r="AX544" s="110"/>
      <c r="AY544" s="110"/>
      <c r="AZ544" s="110"/>
      <c r="BA544" s="110"/>
      <c r="BB544" s="110"/>
      <c r="BC544" s="110"/>
      <c r="BD544" s="110"/>
      <c r="BE544" s="110"/>
      <c r="BF544" s="110"/>
      <c r="BG544" s="110"/>
      <c r="BH544" s="110"/>
      <c r="BI544" s="110"/>
      <c r="BJ544" s="110"/>
      <c r="BK544" s="110"/>
      <c r="BL544" s="110"/>
      <c r="BM544" s="110"/>
      <c r="BN544" s="110"/>
      <c r="BO544" s="110"/>
      <c r="BP544" s="110"/>
      <c r="BQ544" s="110"/>
      <c r="BR544" s="110"/>
      <c r="BS544" s="110"/>
      <c r="BT544" s="110"/>
      <c r="BU544" s="110"/>
      <c r="BV544" s="110"/>
      <c r="BW544" s="110"/>
      <c r="BX544" s="110"/>
      <c r="BY544" s="110"/>
      <c r="BZ544" s="110"/>
      <c r="CA544" s="110"/>
      <c r="CB544" s="110"/>
      <c r="CC544" s="110"/>
    </row>
    <row r="545" spans="1:81" ht="12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  <c r="AS545" s="110"/>
      <c r="AT545" s="110"/>
      <c r="AU545" s="110"/>
      <c r="AV545" s="110"/>
      <c r="AW545" s="110"/>
      <c r="AX545" s="110"/>
      <c r="AY545" s="110"/>
      <c r="AZ545" s="110"/>
      <c r="BA545" s="110"/>
      <c r="BB545" s="110"/>
      <c r="BC545" s="110"/>
      <c r="BD545" s="110"/>
      <c r="BE545" s="110"/>
      <c r="BF545" s="110"/>
      <c r="BG545" s="110"/>
      <c r="BH545" s="110"/>
      <c r="BI545" s="110"/>
      <c r="BJ545" s="110"/>
      <c r="BK545" s="110"/>
      <c r="BL545" s="110"/>
      <c r="BM545" s="110"/>
      <c r="BN545" s="110"/>
      <c r="BO545" s="110"/>
      <c r="BP545" s="110"/>
      <c r="BQ545" s="110"/>
      <c r="BR545" s="110"/>
      <c r="BS545" s="110"/>
      <c r="BT545" s="110"/>
      <c r="BU545" s="110"/>
      <c r="BV545" s="110"/>
      <c r="BW545" s="110"/>
      <c r="BX545" s="110"/>
      <c r="BY545" s="110"/>
      <c r="BZ545" s="110"/>
      <c r="CA545" s="110"/>
      <c r="CB545" s="110"/>
      <c r="CC545" s="110"/>
    </row>
    <row r="546" spans="1:81" ht="12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  <c r="AS546" s="110"/>
      <c r="AT546" s="110"/>
      <c r="AU546" s="110"/>
      <c r="AV546" s="110"/>
      <c r="AW546" s="110"/>
      <c r="AX546" s="110"/>
      <c r="AY546" s="110"/>
      <c r="AZ546" s="110"/>
      <c r="BA546" s="110"/>
      <c r="BB546" s="110"/>
      <c r="BC546" s="110"/>
      <c r="BD546" s="110"/>
      <c r="BE546" s="110"/>
      <c r="BF546" s="110"/>
      <c r="BG546" s="110"/>
      <c r="BH546" s="110"/>
      <c r="BI546" s="110"/>
      <c r="BJ546" s="110"/>
      <c r="BK546" s="110"/>
      <c r="BL546" s="110"/>
      <c r="BM546" s="110"/>
      <c r="BN546" s="110"/>
      <c r="BO546" s="110"/>
      <c r="BP546" s="110"/>
      <c r="BQ546" s="110"/>
      <c r="BR546" s="110"/>
      <c r="BS546" s="110"/>
      <c r="BT546" s="110"/>
      <c r="BU546" s="110"/>
      <c r="BV546" s="110"/>
      <c r="BW546" s="110"/>
      <c r="BX546" s="110"/>
      <c r="BY546" s="110"/>
      <c r="BZ546" s="110"/>
      <c r="CA546" s="110"/>
      <c r="CB546" s="110"/>
      <c r="CC546" s="110"/>
    </row>
    <row r="547" spans="1:81" ht="12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  <c r="AS547" s="110"/>
      <c r="AT547" s="110"/>
      <c r="AU547" s="110"/>
      <c r="AV547" s="110"/>
      <c r="AW547" s="110"/>
      <c r="AX547" s="110"/>
      <c r="AY547" s="110"/>
      <c r="AZ547" s="110"/>
      <c r="BA547" s="110"/>
      <c r="BB547" s="110"/>
      <c r="BC547" s="110"/>
      <c r="BD547" s="110"/>
      <c r="BE547" s="110"/>
      <c r="BF547" s="110"/>
      <c r="BG547" s="110"/>
      <c r="BH547" s="110"/>
      <c r="BI547" s="110"/>
      <c r="BJ547" s="110"/>
      <c r="BK547" s="110"/>
      <c r="BL547" s="110"/>
      <c r="BM547" s="110"/>
      <c r="BN547" s="110"/>
      <c r="BO547" s="110"/>
      <c r="BP547" s="110"/>
      <c r="BQ547" s="110"/>
      <c r="BR547" s="110"/>
      <c r="BS547" s="110"/>
      <c r="BT547" s="110"/>
      <c r="BU547" s="110"/>
      <c r="BV547" s="110"/>
      <c r="BW547" s="110"/>
      <c r="BX547" s="110"/>
      <c r="BY547" s="110"/>
      <c r="BZ547" s="110"/>
      <c r="CA547" s="110"/>
      <c r="CB547" s="110"/>
      <c r="CC547" s="110"/>
    </row>
    <row r="548" spans="1:81" ht="12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  <c r="AS548" s="110"/>
      <c r="AT548" s="110"/>
      <c r="AU548" s="110"/>
      <c r="AV548" s="110"/>
      <c r="AW548" s="110"/>
      <c r="AX548" s="110"/>
      <c r="AY548" s="110"/>
      <c r="AZ548" s="110"/>
      <c r="BA548" s="110"/>
      <c r="BB548" s="110"/>
      <c r="BC548" s="110"/>
      <c r="BD548" s="110"/>
      <c r="BE548" s="110"/>
      <c r="BF548" s="110"/>
      <c r="BG548" s="110"/>
      <c r="BH548" s="110"/>
      <c r="BI548" s="110"/>
      <c r="BJ548" s="110"/>
      <c r="BK548" s="110"/>
      <c r="BL548" s="110"/>
      <c r="BM548" s="110"/>
      <c r="BN548" s="110"/>
      <c r="BO548" s="110"/>
      <c r="BP548" s="110"/>
      <c r="BQ548" s="110"/>
      <c r="BR548" s="110"/>
      <c r="BS548" s="110"/>
      <c r="BT548" s="110"/>
      <c r="BU548" s="110"/>
      <c r="BV548" s="110"/>
      <c r="BW548" s="110"/>
      <c r="BX548" s="110"/>
      <c r="BY548" s="110"/>
      <c r="BZ548" s="110"/>
      <c r="CA548" s="110"/>
      <c r="CB548" s="110"/>
      <c r="CC548" s="110"/>
    </row>
    <row r="549" spans="1:81" ht="12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  <c r="AS549" s="110"/>
      <c r="AT549" s="110"/>
      <c r="AU549" s="110"/>
      <c r="AV549" s="110"/>
      <c r="AW549" s="110"/>
      <c r="AX549" s="110"/>
      <c r="AY549" s="110"/>
      <c r="AZ549" s="110"/>
      <c r="BA549" s="110"/>
      <c r="BB549" s="110"/>
      <c r="BC549" s="110"/>
      <c r="BD549" s="110"/>
      <c r="BE549" s="110"/>
      <c r="BF549" s="110"/>
      <c r="BG549" s="110"/>
      <c r="BH549" s="110"/>
      <c r="BI549" s="110"/>
      <c r="BJ549" s="110"/>
      <c r="BK549" s="110"/>
      <c r="BL549" s="110"/>
      <c r="BM549" s="110"/>
      <c r="BN549" s="110"/>
      <c r="BO549" s="110"/>
      <c r="BP549" s="110"/>
      <c r="BQ549" s="110"/>
      <c r="BR549" s="110"/>
      <c r="BS549" s="110"/>
      <c r="BT549" s="110"/>
      <c r="BU549" s="110"/>
      <c r="BV549" s="110"/>
      <c r="BW549" s="110"/>
      <c r="BX549" s="110"/>
      <c r="BY549" s="110"/>
      <c r="BZ549" s="110"/>
      <c r="CA549" s="110"/>
      <c r="CB549" s="110"/>
      <c r="CC549" s="110"/>
    </row>
    <row r="550" spans="1:81" ht="12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  <c r="AS550" s="110"/>
      <c r="AT550" s="110"/>
      <c r="AU550" s="110"/>
      <c r="AV550" s="110"/>
      <c r="AW550" s="110"/>
      <c r="AX550" s="110"/>
      <c r="AY550" s="110"/>
      <c r="AZ550" s="110"/>
      <c r="BA550" s="110"/>
      <c r="BB550" s="110"/>
      <c r="BC550" s="110"/>
      <c r="BD550" s="110"/>
      <c r="BE550" s="110"/>
      <c r="BF550" s="110"/>
      <c r="BG550" s="110"/>
      <c r="BH550" s="110"/>
      <c r="BI550" s="110"/>
      <c r="BJ550" s="110"/>
      <c r="BK550" s="110"/>
      <c r="BL550" s="110"/>
      <c r="BM550" s="110"/>
      <c r="BN550" s="110"/>
      <c r="BO550" s="110"/>
      <c r="BP550" s="110"/>
      <c r="BQ550" s="110"/>
      <c r="BR550" s="110"/>
      <c r="BS550" s="110"/>
      <c r="BT550" s="110"/>
      <c r="BU550" s="110"/>
      <c r="BV550" s="110"/>
      <c r="BW550" s="110"/>
      <c r="BX550" s="110"/>
      <c r="BY550" s="110"/>
      <c r="BZ550" s="110"/>
      <c r="CA550" s="110"/>
      <c r="CB550" s="110"/>
      <c r="CC550" s="110"/>
    </row>
    <row r="551" spans="1:81" ht="12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  <c r="AS551" s="110"/>
      <c r="AT551" s="110"/>
      <c r="AU551" s="110"/>
      <c r="AV551" s="110"/>
      <c r="AW551" s="110"/>
      <c r="AX551" s="110"/>
      <c r="AY551" s="110"/>
      <c r="AZ551" s="110"/>
      <c r="BA551" s="110"/>
      <c r="BB551" s="110"/>
      <c r="BC551" s="110"/>
      <c r="BD551" s="110"/>
      <c r="BE551" s="110"/>
      <c r="BF551" s="110"/>
      <c r="BG551" s="110"/>
      <c r="BH551" s="110"/>
      <c r="BI551" s="110"/>
      <c r="BJ551" s="110"/>
      <c r="BK551" s="110"/>
      <c r="BL551" s="110"/>
      <c r="BM551" s="110"/>
      <c r="BN551" s="110"/>
      <c r="BO551" s="110"/>
      <c r="BP551" s="110"/>
      <c r="BQ551" s="110"/>
      <c r="BR551" s="110"/>
      <c r="BS551" s="110"/>
      <c r="BT551" s="110"/>
      <c r="BU551" s="110"/>
      <c r="BV551" s="110"/>
      <c r="BW551" s="110"/>
      <c r="BX551" s="110"/>
      <c r="BY551" s="110"/>
      <c r="BZ551" s="110"/>
      <c r="CA551" s="110"/>
      <c r="CB551" s="110"/>
      <c r="CC551" s="110"/>
    </row>
    <row r="552" spans="1:81" ht="12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  <c r="AS552" s="110"/>
      <c r="AT552" s="110"/>
      <c r="AU552" s="110"/>
      <c r="AV552" s="110"/>
      <c r="AW552" s="110"/>
      <c r="AX552" s="110"/>
      <c r="AY552" s="110"/>
      <c r="AZ552" s="110"/>
      <c r="BA552" s="110"/>
      <c r="BB552" s="110"/>
      <c r="BC552" s="110"/>
      <c r="BD552" s="110"/>
      <c r="BE552" s="110"/>
      <c r="BF552" s="110"/>
      <c r="BG552" s="110"/>
      <c r="BH552" s="110"/>
      <c r="BI552" s="110"/>
      <c r="BJ552" s="110"/>
      <c r="BK552" s="110"/>
      <c r="BL552" s="110"/>
      <c r="BM552" s="110"/>
      <c r="BN552" s="110"/>
      <c r="BO552" s="110"/>
      <c r="BP552" s="110"/>
      <c r="BQ552" s="110"/>
      <c r="BR552" s="110"/>
      <c r="BS552" s="110"/>
      <c r="BT552" s="110"/>
      <c r="BU552" s="110"/>
      <c r="BV552" s="110"/>
      <c r="BW552" s="110"/>
      <c r="BX552" s="110"/>
      <c r="BY552" s="110"/>
      <c r="BZ552" s="110"/>
      <c r="CA552" s="110"/>
      <c r="CB552" s="110"/>
      <c r="CC552" s="110"/>
    </row>
    <row r="553" spans="1:81" ht="12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  <c r="AS553" s="110"/>
      <c r="AT553" s="110"/>
      <c r="AU553" s="110"/>
      <c r="AV553" s="110"/>
      <c r="AW553" s="110"/>
      <c r="AX553" s="110"/>
      <c r="AY553" s="110"/>
      <c r="AZ553" s="110"/>
      <c r="BA553" s="110"/>
      <c r="BB553" s="110"/>
      <c r="BC553" s="110"/>
      <c r="BD553" s="110"/>
      <c r="BE553" s="110"/>
      <c r="BF553" s="110"/>
      <c r="BG553" s="110"/>
      <c r="BH553" s="110"/>
      <c r="BI553" s="110"/>
      <c r="BJ553" s="110"/>
      <c r="BK553" s="110"/>
      <c r="BL553" s="110"/>
      <c r="BM553" s="110"/>
      <c r="BN553" s="110"/>
      <c r="BO553" s="110"/>
      <c r="BP553" s="110"/>
      <c r="BQ553" s="110"/>
      <c r="BR553" s="110"/>
      <c r="BS553" s="110"/>
      <c r="BT553" s="110"/>
      <c r="BU553" s="110"/>
      <c r="BV553" s="110"/>
      <c r="BW553" s="110"/>
      <c r="BX553" s="110"/>
      <c r="BY553" s="110"/>
      <c r="BZ553" s="110"/>
      <c r="CA553" s="110"/>
      <c r="CB553" s="110"/>
      <c r="CC553" s="110"/>
    </row>
    <row r="554" spans="1:81" ht="12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  <c r="AS554" s="110"/>
      <c r="AT554" s="110"/>
      <c r="AU554" s="110"/>
      <c r="AV554" s="110"/>
      <c r="AW554" s="110"/>
      <c r="AX554" s="110"/>
      <c r="AY554" s="110"/>
      <c r="AZ554" s="110"/>
      <c r="BA554" s="110"/>
      <c r="BB554" s="110"/>
      <c r="BC554" s="110"/>
      <c r="BD554" s="110"/>
      <c r="BE554" s="110"/>
      <c r="BF554" s="110"/>
      <c r="BG554" s="110"/>
      <c r="BH554" s="110"/>
      <c r="BI554" s="110"/>
      <c r="BJ554" s="110"/>
      <c r="BK554" s="110"/>
      <c r="BL554" s="110"/>
      <c r="BM554" s="110"/>
      <c r="BN554" s="110"/>
      <c r="BO554" s="110"/>
      <c r="BP554" s="110"/>
      <c r="BQ554" s="110"/>
      <c r="BR554" s="110"/>
      <c r="BS554" s="110"/>
      <c r="BT554" s="110"/>
      <c r="BU554" s="110"/>
      <c r="BV554" s="110"/>
      <c r="BW554" s="110"/>
      <c r="BX554" s="110"/>
      <c r="BY554" s="110"/>
      <c r="BZ554" s="110"/>
      <c r="CA554" s="110"/>
      <c r="CB554" s="110"/>
      <c r="CC554" s="110"/>
    </row>
    <row r="555" spans="1:81" ht="12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  <c r="AS555" s="110"/>
      <c r="AT555" s="110"/>
      <c r="AU555" s="110"/>
      <c r="AV555" s="110"/>
      <c r="AW555" s="110"/>
      <c r="AX555" s="110"/>
      <c r="AY555" s="110"/>
      <c r="AZ555" s="110"/>
      <c r="BA555" s="110"/>
      <c r="BB555" s="110"/>
      <c r="BC555" s="110"/>
      <c r="BD555" s="110"/>
      <c r="BE555" s="110"/>
      <c r="BF555" s="110"/>
      <c r="BG555" s="110"/>
      <c r="BH555" s="110"/>
      <c r="BI555" s="110"/>
      <c r="BJ555" s="110"/>
      <c r="BK555" s="110"/>
      <c r="BL555" s="110"/>
      <c r="BM555" s="110"/>
      <c r="BN555" s="110"/>
      <c r="BO555" s="110"/>
      <c r="BP555" s="110"/>
      <c r="BQ555" s="110"/>
      <c r="BR555" s="110"/>
      <c r="BS555" s="110"/>
      <c r="BT555" s="110"/>
      <c r="BU555" s="110"/>
      <c r="BV555" s="110"/>
      <c r="BW555" s="110"/>
      <c r="BX555" s="110"/>
      <c r="BY555" s="110"/>
      <c r="BZ555" s="110"/>
      <c r="CA555" s="110"/>
      <c r="CB555" s="110"/>
      <c r="CC555" s="110"/>
    </row>
    <row r="556" spans="1:81" ht="12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  <c r="AS556" s="110"/>
      <c r="AT556" s="110"/>
      <c r="AU556" s="110"/>
      <c r="AV556" s="110"/>
      <c r="AW556" s="110"/>
      <c r="AX556" s="110"/>
      <c r="AY556" s="110"/>
      <c r="AZ556" s="110"/>
      <c r="BA556" s="110"/>
      <c r="BB556" s="110"/>
      <c r="BC556" s="110"/>
      <c r="BD556" s="110"/>
      <c r="BE556" s="110"/>
      <c r="BF556" s="110"/>
      <c r="BG556" s="110"/>
      <c r="BH556" s="110"/>
      <c r="BI556" s="110"/>
      <c r="BJ556" s="110"/>
      <c r="BK556" s="110"/>
      <c r="BL556" s="110"/>
      <c r="BM556" s="110"/>
      <c r="BN556" s="110"/>
      <c r="BO556" s="110"/>
      <c r="BP556" s="110"/>
      <c r="BQ556" s="110"/>
      <c r="BR556" s="110"/>
      <c r="BS556" s="110"/>
      <c r="BT556" s="110"/>
      <c r="BU556" s="110"/>
      <c r="BV556" s="110"/>
      <c r="BW556" s="110"/>
      <c r="BX556" s="110"/>
      <c r="BY556" s="110"/>
      <c r="BZ556" s="110"/>
      <c r="CA556" s="110"/>
      <c r="CB556" s="110"/>
      <c r="CC556" s="110"/>
    </row>
    <row r="557" spans="1:81" ht="12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  <c r="AS557" s="110"/>
      <c r="AT557" s="110"/>
      <c r="AU557" s="110"/>
      <c r="AV557" s="110"/>
      <c r="AW557" s="110"/>
      <c r="AX557" s="110"/>
      <c r="AY557" s="110"/>
      <c r="AZ557" s="110"/>
      <c r="BA557" s="110"/>
      <c r="BB557" s="110"/>
      <c r="BC557" s="110"/>
      <c r="BD557" s="110"/>
      <c r="BE557" s="110"/>
      <c r="BF557" s="110"/>
      <c r="BG557" s="110"/>
      <c r="BH557" s="110"/>
      <c r="BI557" s="110"/>
      <c r="BJ557" s="110"/>
      <c r="BK557" s="110"/>
      <c r="BL557" s="110"/>
      <c r="BM557" s="110"/>
      <c r="BN557" s="110"/>
      <c r="BO557" s="110"/>
      <c r="BP557" s="110"/>
      <c r="BQ557" s="110"/>
      <c r="BR557" s="110"/>
      <c r="BS557" s="110"/>
      <c r="BT557" s="110"/>
      <c r="BU557" s="110"/>
      <c r="BV557" s="110"/>
      <c r="BW557" s="110"/>
      <c r="BX557" s="110"/>
      <c r="BY557" s="110"/>
      <c r="BZ557" s="110"/>
      <c r="CA557" s="110"/>
      <c r="CB557" s="110"/>
      <c r="CC557" s="110"/>
    </row>
    <row r="558" spans="1:81" ht="12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  <c r="AS558" s="110"/>
      <c r="AT558" s="110"/>
      <c r="AU558" s="110"/>
      <c r="AV558" s="110"/>
      <c r="AW558" s="110"/>
      <c r="AX558" s="110"/>
      <c r="AY558" s="110"/>
      <c r="AZ558" s="110"/>
      <c r="BA558" s="110"/>
      <c r="BB558" s="110"/>
      <c r="BC558" s="110"/>
      <c r="BD558" s="110"/>
      <c r="BE558" s="110"/>
      <c r="BF558" s="110"/>
      <c r="BG558" s="110"/>
      <c r="BH558" s="110"/>
      <c r="BI558" s="110"/>
      <c r="BJ558" s="110"/>
      <c r="BK558" s="110"/>
      <c r="BL558" s="110"/>
      <c r="BM558" s="110"/>
      <c r="BN558" s="110"/>
      <c r="BO558" s="110"/>
      <c r="BP558" s="110"/>
      <c r="BQ558" s="110"/>
      <c r="BR558" s="110"/>
      <c r="BS558" s="110"/>
      <c r="BT558" s="110"/>
      <c r="BU558" s="110"/>
      <c r="BV558" s="110"/>
      <c r="BW558" s="110"/>
      <c r="BX558" s="110"/>
      <c r="BY558" s="110"/>
      <c r="BZ558" s="110"/>
      <c r="CA558" s="110"/>
      <c r="CB558" s="110"/>
      <c r="CC558" s="110"/>
    </row>
    <row r="559" spans="1:81" ht="12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  <c r="AS559" s="110"/>
      <c r="AT559" s="110"/>
      <c r="AU559" s="110"/>
      <c r="AV559" s="110"/>
      <c r="AW559" s="110"/>
      <c r="AX559" s="110"/>
      <c r="AY559" s="110"/>
      <c r="AZ559" s="110"/>
      <c r="BA559" s="110"/>
      <c r="BB559" s="110"/>
      <c r="BC559" s="110"/>
      <c r="BD559" s="110"/>
      <c r="BE559" s="110"/>
      <c r="BF559" s="110"/>
      <c r="BG559" s="110"/>
      <c r="BH559" s="110"/>
      <c r="BI559" s="110"/>
      <c r="BJ559" s="110"/>
      <c r="BK559" s="110"/>
      <c r="BL559" s="110"/>
      <c r="BM559" s="110"/>
      <c r="BN559" s="110"/>
      <c r="BO559" s="110"/>
      <c r="BP559" s="110"/>
      <c r="BQ559" s="110"/>
      <c r="BR559" s="110"/>
      <c r="BS559" s="110"/>
      <c r="BT559" s="110"/>
      <c r="BU559" s="110"/>
      <c r="BV559" s="110"/>
      <c r="BW559" s="110"/>
      <c r="BX559" s="110"/>
      <c r="BY559" s="110"/>
      <c r="BZ559" s="110"/>
      <c r="CA559" s="110"/>
      <c r="CB559" s="110"/>
      <c r="CC559" s="110"/>
    </row>
    <row r="560" spans="1:81" ht="12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  <c r="AS560" s="110"/>
      <c r="AT560" s="110"/>
      <c r="AU560" s="110"/>
      <c r="AV560" s="110"/>
      <c r="AW560" s="110"/>
      <c r="AX560" s="110"/>
      <c r="AY560" s="110"/>
      <c r="AZ560" s="110"/>
      <c r="BA560" s="110"/>
      <c r="BB560" s="110"/>
      <c r="BC560" s="110"/>
      <c r="BD560" s="110"/>
      <c r="BE560" s="110"/>
      <c r="BF560" s="110"/>
      <c r="BG560" s="110"/>
      <c r="BH560" s="110"/>
      <c r="BI560" s="110"/>
      <c r="BJ560" s="110"/>
      <c r="BK560" s="110"/>
      <c r="BL560" s="110"/>
      <c r="BM560" s="110"/>
      <c r="BN560" s="110"/>
      <c r="BO560" s="110"/>
      <c r="BP560" s="110"/>
      <c r="BQ560" s="110"/>
      <c r="BR560" s="110"/>
      <c r="BS560" s="110"/>
      <c r="BT560" s="110"/>
      <c r="BU560" s="110"/>
      <c r="BV560" s="110"/>
      <c r="BW560" s="110"/>
      <c r="BX560" s="110"/>
      <c r="BY560" s="110"/>
      <c r="BZ560" s="110"/>
      <c r="CA560" s="110"/>
      <c r="CB560" s="110"/>
      <c r="CC560" s="110"/>
    </row>
    <row r="561" spans="1:81" ht="12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  <c r="AS561" s="110"/>
      <c r="AT561" s="110"/>
      <c r="AU561" s="110"/>
      <c r="AV561" s="110"/>
      <c r="AW561" s="110"/>
      <c r="AX561" s="110"/>
      <c r="AY561" s="110"/>
      <c r="AZ561" s="110"/>
      <c r="BA561" s="110"/>
      <c r="BB561" s="110"/>
      <c r="BC561" s="110"/>
      <c r="BD561" s="110"/>
      <c r="BE561" s="110"/>
      <c r="BF561" s="110"/>
      <c r="BG561" s="110"/>
      <c r="BH561" s="110"/>
      <c r="BI561" s="110"/>
      <c r="BJ561" s="110"/>
      <c r="BK561" s="110"/>
      <c r="BL561" s="110"/>
      <c r="BM561" s="110"/>
      <c r="BN561" s="110"/>
      <c r="BO561" s="110"/>
      <c r="BP561" s="110"/>
      <c r="BQ561" s="110"/>
      <c r="BR561" s="110"/>
      <c r="BS561" s="110"/>
      <c r="BT561" s="110"/>
      <c r="BU561" s="110"/>
      <c r="BV561" s="110"/>
      <c r="BW561" s="110"/>
      <c r="BX561" s="110"/>
      <c r="BY561" s="110"/>
      <c r="BZ561" s="110"/>
      <c r="CA561" s="110"/>
      <c r="CB561" s="110"/>
      <c r="CC561" s="110"/>
    </row>
    <row r="562" spans="1:81" ht="12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  <c r="AS562" s="110"/>
      <c r="AT562" s="110"/>
      <c r="AU562" s="110"/>
      <c r="AV562" s="110"/>
      <c r="AW562" s="110"/>
      <c r="AX562" s="110"/>
      <c r="AY562" s="110"/>
      <c r="AZ562" s="110"/>
      <c r="BA562" s="110"/>
      <c r="BB562" s="110"/>
      <c r="BC562" s="110"/>
      <c r="BD562" s="110"/>
      <c r="BE562" s="110"/>
      <c r="BF562" s="110"/>
      <c r="BG562" s="110"/>
      <c r="BH562" s="110"/>
      <c r="BI562" s="110"/>
      <c r="BJ562" s="110"/>
      <c r="BK562" s="110"/>
      <c r="BL562" s="110"/>
      <c r="BM562" s="110"/>
      <c r="BN562" s="110"/>
      <c r="BO562" s="110"/>
      <c r="BP562" s="110"/>
      <c r="BQ562" s="110"/>
      <c r="BR562" s="110"/>
      <c r="BS562" s="110"/>
      <c r="BT562" s="110"/>
      <c r="BU562" s="110"/>
      <c r="BV562" s="110"/>
      <c r="BW562" s="110"/>
      <c r="BX562" s="110"/>
      <c r="BY562" s="110"/>
      <c r="BZ562" s="110"/>
      <c r="CA562" s="110"/>
      <c r="CB562" s="110"/>
      <c r="CC562" s="110"/>
    </row>
    <row r="563" spans="1:81" ht="12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  <c r="AS563" s="110"/>
      <c r="AT563" s="110"/>
      <c r="AU563" s="110"/>
      <c r="AV563" s="110"/>
      <c r="AW563" s="110"/>
      <c r="AX563" s="110"/>
      <c r="AY563" s="110"/>
      <c r="AZ563" s="110"/>
      <c r="BA563" s="110"/>
      <c r="BB563" s="110"/>
      <c r="BC563" s="110"/>
      <c r="BD563" s="110"/>
      <c r="BE563" s="110"/>
      <c r="BF563" s="110"/>
      <c r="BG563" s="110"/>
      <c r="BH563" s="110"/>
      <c r="BI563" s="110"/>
      <c r="BJ563" s="110"/>
      <c r="BK563" s="110"/>
      <c r="BL563" s="110"/>
      <c r="BM563" s="110"/>
      <c r="BN563" s="110"/>
      <c r="BO563" s="110"/>
      <c r="BP563" s="110"/>
      <c r="BQ563" s="110"/>
      <c r="BR563" s="110"/>
      <c r="BS563" s="110"/>
      <c r="BT563" s="110"/>
      <c r="BU563" s="110"/>
      <c r="BV563" s="110"/>
      <c r="BW563" s="110"/>
      <c r="BX563" s="110"/>
      <c r="BY563" s="110"/>
      <c r="BZ563" s="110"/>
      <c r="CA563" s="110"/>
      <c r="CB563" s="110"/>
      <c r="CC563" s="110"/>
    </row>
    <row r="564" spans="1:81" ht="12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  <c r="AS564" s="110"/>
      <c r="AT564" s="110"/>
      <c r="AU564" s="110"/>
      <c r="AV564" s="110"/>
      <c r="AW564" s="110"/>
      <c r="AX564" s="110"/>
      <c r="AY564" s="110"/>
      <c r="AZ564" s="110"/>
      <c r="BA564" s="110"/>
      <c r="BB564" s="110"/>
      <c r="BC564" s="110"/>
      <c r="BD564" s="110"/>
      <c r="BE564" s="110"/>
      <c r="BF564" s="110"/>
      <c r="BG564" s="110"/>
      <c r="BH564" s="110"/>
      <c r="BI564" s="110"/>
      <c r="BJ564" s="110"/>
      <c r="BK564" s="110"/>
      <c r="BL564" s="110"/>
      <c r="BM564" s="110"/>
      <c r="BN564" s="110"/>
      <c r="BO564" s="110"/>
      <c r="BP564" s="110"/>
      <c r="BQ564" s="110"/>
      <c r="BR564" s="110"/>
      <c r="BS564" s="110"/>
      <c r="BT564" s="110"/>
      <c r="BU564" s="110"/>
      <c r="BV564" s="110"/>
      <c r="BW564" s="110"/>
      <c r="BX564" s="110"/>
      <c r="BY564" s="110"/>
      <c r="BZ564" s="110"/>
      <c r="CA564" s="110"/>
      <c r="CB564" s="110"/>
      <c r="CC564" s="110"/>
    </row>
    <row r="565" spans="1:81" ht="12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  <c r="AS565" s="110"/>
      <c r="AT565" s="110"/>
      <c r="AU565" s="110"/>
      <c r="AV565" s="110"/>
      <c r="AW565" s="110"/>
      <c r="AX565" s="110"/>
      <c r="AY565" s="110"/>
      <c r="AZ565" s="110"/>
      <c r="BA565" s="110"/>
      <c r="BB565" s="110"/>
      <c r="BC565" s="110"/>
      <c r="BD565" s="110"/>
      <c r="BE565" s="110"/>
      <c r="BF565" s="110"/>
      <c r="BG565" s="110"/>
      <c r="BH565" s="110"/>
      <c r="BI565" s="110"/>
      <c r="BJ565" s="110"/>
      <c r="BK565" s="110"/>
      <c r="BL565" s="110"/>
      <c r="BM565" s="110"/>
      <c r="BN565" s="110"/>
      <c r="BO565" s="110"/>
      <c r="BP565" s="110"/>
      <c r="BQ565" s="110"/>
      <c r="BR565" s="110"/>
      <c r="BS565" s="110"/>
      <c r="BT565" s="110"/>
      <c r="BU565" s="110"/>
      <c r="BV565" s="110"/>
      <c r="BW565" s="110"/>
      <c r="BX565" s="110"/>
      <c r="BY565" s="110"/>
      <c r="BZ565" s="110"/>
      <c r="CA565" s="110"/>
      <c r="CB565" s="110"/>
      <c r="CC565" s="110"/>
    </row>
    <row r="566" spans="1:81" ht="12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  <c r="AS566" s="110"/>
      <c r="AT566" s="110"/>
      <c r="AU566" s="110"/>
      <c r="AV566" s="110"/>
      <c r="AW566" s="110"/>
      <c r="AX566" s="110"/>
      <c r="AY566" s="110"/>
      <c r="AZ566" s="110"/>
      <c r="BA566" s="110"/>
      <c r="BB566" s="110"/>
      <c r="BC566" s="110"/>
      <c r="BD566" s="110"/>
      <c r="BE566" s="110"/>
      <c r="BF566" s="110"/>
      <c r="BG566" s="110"/>
      <c r="BH566" s="110"/>
      <c r="BI566" s="110"/>
      <c r="BJ566" s="110"/>
      <c r="BK566" s="110"/>
      <c r="BL566" s="110"/>
      <c r="BM566" s="110"/>
      <c r="BN566" s="110"/>
      <c r="BO566" s="110"/>
      <c r="BP566" s="110"/>
      <c r="BQ566" s="110"/>
      <c r="BR566" s="110"/>
      <c r="BS566" s="110"/>
      <c r="BT566" s="110"/>
      <c r="BU566" s="110"/>
      <c r="BV566" s="110"/>
      <c r="BW566" s="110"/>
      <c r="BX566" s="110"/>
      <c r="BY566" s="110"/>
      <c r="BZ566" s="110"/>
      <c r="CA566" s="110"/>
      <c r="CB566" s="110"/>
      <c r="CC566" s="110"/>
    </row>
    <row r="567" spans="1:81" ht="12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  <c r="AU567" s="110"/>
      <c r="AV567" s="110"/>
      <c r="AW567" s="110"/>
      <c r="AX567" s="110"/>
      <c r="AY567" s="110"/>
      <c r="AZ567" s="110"/>
      <c r="BA567" s="110"/>
      <c r="BB567" s="110"/>
      <c r="BC567" s="110"/>
      <c r="BD567" s="110"/>
      <c r="BE567" s="110"/>
      <c r="BF567" s="110"/>
      <c r="BG567" s="110"/>
      <c r="BH567" s="110"/>
      <c r="BI567" s="110"/>
      <c r="BJ567" s="110"/>
      <c r="BK567" s="110"/>
      <c r="BL567" s="110"/>
      <c r="BM567" s="110"/>
      <c r="BN567" s="110"/>
      <c r="BO567" s="110"/>
      <c r="BP567" s="110"/>
      <c r="BQ567" s="110"/>
      <c r="BR567" s="110"/>
      <c r="BS567" s="110"/>
      <c r="BT567" s="110"/>
      <c r="BU567" s="110"/>
      <c r="BV567" s="110"/>
      <c r="BW567" s="110"/>
      <c r="BX567" s="110"/>
      <c r="BY567" s="110"/>
      <c r="BZ567" s="110"/>
      <c r="CA567" s="110"/>
      <c r="CB567" s="110"/>
      <c r="CC567" s="110"/>
    </row>
    <row r="568" spans="1:81" ht="12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  <c r="AU568" s="110"/>
      <c r="AV568" s="110"/>
      <c r="AW568" s="110"/>
      <c r="AX568" s="110"/>
      <c r="AY568" s="110"/>
      <c r="AZ568" s="110"/>
      <c r="BA568" s="110"/>
      <c r="BB568" s="110"/>
      <c r="BC568" s="110"/>
      <c r="BD568" s="110"/>
      <c r="BE568" s="110"/>
      <c r="BF568" s="110"/>
      <c r="BG568" s="110"/>
      <c r="BH568" s="110"/>
      <c r="BI568" s="110"/>
      <c r="BJ568" s="110"/>
      <c r="BK568" s="110"/>
      <c r="BL568" s="110"/>
      <c r="BM568" s="110"/>
      <c r="BN568" s="110"/>
      <c r="BO568" s="110"/>
      <c r="BP568" s="110"/>
      <c r="BQ568" s="110"/>
      <c r="BR568" s="110"/>
      <c r="BS568" s="110"/>
      <c r="BT568" s="110"/>
      <c r="BU568" s="110"/>
      <c r="BV568" s="110"/>
      <c r="BW568" s="110"/>
      <c r="BX568" s="110"/>
      <c r="BY568" s="110"/>
      <c r="BZ568" s="110"/>
      <c r="CA568" s="110"/>
      <c r="CB568" s="110"/>
      <c r="CC568" s="110"/>
    </row>
    <row r="569" spans="1:81" ht="12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  <c r="AU569" s="110"/>
      <c r="AV569" s="110"/>
      <c r="AW569" s="110"/>
      <c r="AX569" s="110"/>
      <c r="AY569" s="110"/>
      <c r="AZ569" s="110"/>
      <c r="BA569" s="110"/>
      <c r="BB569" s="110"/>
      <c r="BC569" s="110"/>
      <c r="BD569" s="110"/>
      <c r="BE569" s="110"/>
      <c r="BF569" s="110"/>
      <c r="BG569" s="110"/>
      <c r="BH569" s="110"/>
      <c r="BI569" s="110"/>
      <c r="BJ569" s="110"/>
      <c r="BK569" s="110"/>
      <c r="BL569" s="110"/>
      <c r="BM569" s="110"/>
      <c r="BN569" s="110"/>
      <c r="BO569" s="110"/>
      <c r="BP569" s="110"/>
      <c r="BQ569" s="110"/>
      <c r="BR569" s="110"/>
      <c r="BS569" s="110"/>
      <c r="BT569" s="110"/>
      <c r="BU569" s="110"/>
      <c r="BV569" s="110"/>
      <c r="BW569" s="110"/>
      <c r="BX569" s="110"/>
      <c r="BY569" s="110"/>
      <c r="BZ569" s="110"/>
      <c r="CA569" s="110"/>
      <c r="CB569" s="110"/>
      <c r="CC569" s="110"/>
    </row>
    <row r="570" spans="1:81" ht="12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  <c r="AS570" s="110"/>
      <c r="AT570" s="110"/>
      <c r="AU570" s="110"/>
      <c r="AV570" s="110"/>
      <c r="AW570" s="110"/>
      <c r="AX570" s="110"/>
      <c r="AY570" s="110"/>
      <c r="AZ570" s="110"/>
      <c r="BA570" s="110"/>
      <c r="BB570" s="110"/>
      <c r="BC570" s="110"/>
      <c r="BD570" s="110"/>
      <c r="BE570" s="110"/>
      <c r="BF570" s="110"/>
      <c r="BG570" s="110"/>
      <c r="BH570" s="110"/>
      <c r="BI570" s="110"/>
      <c r="BJ570" s="110"/>
      <c r="BK570" s="110"/>
      <c r="BL570" s="110"/>
      <c r="BM570" s="110"/>
      <c r="BN570" s="110"/>
      <c r="BO570" s="110"/>
      <c r="BP570" s="110"/>
      <c r="BQ570" s="110"/>
      <c r="BR570" s="110"/>
      <c r="BS570" s="110"/>
      <c r="BT570" s="110"/>
      <c r="BU570" s="110"/>
      <c r="BV570" s="110"/>
      <c r="BW570" s="110"/>
      <c r="BX570" s="110"/>
      <c r="BY570" s="110"/>
      <c r="BZ570" s="110"/>
      <c r="CA570" s="110"/>
      <c r="CB570" s="110"/>
      <c r="CC570" s="110"/>
    </row>
    <row r="571" spans="1:81" ht="12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  <c r="AS571" s="110"/>
      <c r="AT571" s="110"/>
      <c r="AU571" s="110"/>
      <c r="AV571" s="110"/>
      <c r="AW571" s="110"/>
      <c r="AX571" s="110"/>
      <c r="AY571" s="110"/>
      <c r="AZ571" s="110"/>
      <c r="BA571" s="110"/>
      <c r="BB571" s="110"/>
      <c r="BC571" s="110"/>
      <c r="BD571" s="110"/>
      <c r="BE571" s="110"/>
      <c r="BF571" s="110"/>
      <c r="BG571" s="110"/>
      <c r="BH571" s="110"/>
      <c r="BI571" s="110"/>
      <c r="BJ571" s="110"/>
      <c r="BK571" s="110"/>
      <c r="BL571" s="110"/>
      <c r="BM571" s="110"/>
      <c r="BN571" s="110"/>
      <c r="BO571" s="110"/>
      <c r="BP571" s="110"/>
      <c r="BQ571" s="110"/>
      <c r="BR571" s="110"/>
      <c r="BS571" s="110"/>
      <c r="BT571" s="110"/>
      <c r="BU571" s="110"/>
      <c r="BV571" s="110"/>
      <c r="BW571" s="110"/>
      <c r="BX571" s="110"/>
      <c r="BY571" s="110"/>
      <c r="BZ571" s="110"/>
      <c r="CA571" s="110"/>
      <c r="CB571" s="110"/>
      <c r="CC571" s="110"/>
    </row>
    <row r="572" spans="1:81" ht="12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  <c r="AS572" s="110"/>
      <c r="AT572" s="110"/>
      <c r="AU572" s="110"/>
      <c r="AV572" s="110"/>
      <c r="AW572" s="110"/>
      <c r="AX572" s="110"/>
      <c r="AY572" s="110"/>
      <c r="AZ572" s="110"/>
      <c r="BA572" s="110"/>
      <c r="BB572" s="110"/>
      <c r="BC572" s="110"/>
      <c r="BD572" s="110"/>
      <c r="BE572" s="110"/>
      <c r="BF572" s="110"/>
      <c r="BG572" s="110"/>
      <c r="BH572" s="110"/>
      <c r="BI572" s="110"/>
      <c r="BJ572" s="110"/>
      <c r="BK572" s="110"/>
      <c r="BL572" s="110"/>
      <c r="BM572" s="110"/>
      <c r="BN572" s="110"/>
      <c r="BO572" s="110"/>
      <c r="BP572" s="110"/>
      <c r="BQ572" s="110"/>
      <c r="BR572" s="110"/>
      <c r="BS572" s="110"/>
      <c r="BT572" s="110"/>
      <c r="BU572" s="110"/>
      <c r="BV572" s="110"/>
      <c r="BW572" s="110"/>
      <c r="BX572" s="110"/>
      <c r="BY572" s="110"/>
      <c r="BZ572" s="110"/>
      <c r="CA572" s="110"/>
      <c r="CB572" s="110"/>
      <c r="CC572" s="110"/>
    </row>
    <row r="573" spans="1:81" ht="12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  <c r="AV573" s="110"/>
      <c r="AW573" s="110"/>
      <c r="AX573" s="110"/>
      <c r="AY573" s="110"/>
      <c r="AZ573" s="110"/>
      <c r="BA573" s="110"/>
      <c r="BB573" s="110"/>
      <c r="BC573" s="110"/>
      <c r="BD573" s="110"/>
      <c r="BE573" s="110"/>
      <c r="BF573" s="110"/>
      <c r="BG573" s="110"/>
      <c r="BH573" s="110"/>
      <c r="BI573" s="110"/>
      <c r="BJ573" s="110"/>
      <c r="BK573" s="110"/>
      <c r="BL573" s="110"/>
      <c r="BM573" s="110"/>
      <c r="BN573" s="110"/>
      <c r="BO573" s="110"/>
      <c r="BP573" s="110"/>
      <c r="BQ573" s="110"/>
      <c r="BR573" s="110"/>
      <c r="BS573" s="110"/>
      <c r="BT573" s="110"/>
      <c r="BU573" s="110"/>
      <c r="BV573" s="110"/>
      <c r="BW573" s="110"/>
      <c r="BX573" s="110"/>
      <c r="BY573" s="110"/>
      <c r="BZ573" s="110"/>
      <c r="CA573" s="110"/>
      <c r="CB573" s="110"/>
      <c r="CC573" s="110"/>
    </row>
    <row r="574" spans="1:81" ht="12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  <c r="AS574" s="110"/>
      <c r="AT574" s="110"/>
      <c r="AU574" s="110"/>
      <c r="AV574" s="110"/>
      <c r="AW574" s="110"/>
      <c r="AX574" s="110"/>
      <c r="AY574" s="110"/>
      <c r="AZ574" s="110"/>
      <c r="BA574" s="110"/>
      <c r="BB574" s="110"/>
      <c r="BC574" s="110"/>
      <c r="BD574" s="110"/>
      <c r="BE574" s="110"/>
      <c r="BF574" s="110"/>
      <c r="BG574" s="110"/>
      <c r="BH574" s="110"/>
      <c r="BI574" s="110"/>
      <c r="BJ574" s="110"/>
      <c r="BK574" s="110"/>
      <c r="BL574" s="110"/>
      <c r="BM574" s="110"/>
      <c r="BN574" s="110"/>
      <c r="BO574" s="110"/>
      <c r="BP574" s="110"/>
      <c r="BQ574" s="110"/>
      <c r="BR574" s="110"/>
      <c r="BS574" s="110"/>
      <c r="BT574" s="110"/>
      <c r="BU574" s="110"/>
      <c r="BV574" s="110"/>
      <c r="BW574" s="110"/>
      <c r="BX574" s="110"/>
      <c r="BY574" s="110"/>
      <c r="BZ574" s="110"/>
      <c r="CA574" s="110"/>
      <c r="CB574" s="110"/>
      <c r="CC574" s="110"/>
    </row>
    <row r="575" spans="1:81" ht="12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  <c r="AS575" s="110"/>
      <c r="AT575" s="110"/>
      <c r="AU575" s="110"/>
      <c r="AV575" s="110"/>
      <c r="AW575" s="110"/>
      <c r="AX575" s="110"/>
      <c r="AY575" s="110"/>
      <c r="AZ575" s="110"/>
      <c r="BA575" s="110"/>
      <c r="BB575" s="110"/>
      <c r="BC575" s="110"/>
      <c r="BD575" s="110"/>
      <c r="BE575" s="110"/>
      <c r="BF575" s="110"/>
      <c r="BG575" s="110"/>
      <c r="BH575" s="110"/>
      <c r="BI575" s="110"/>
      <c r="BJ575" s="110"/>
      <c r="BK575" s="110"/>
      <c r="BL575" s="110"/>
      <c r="BM575" s="110"/>
      <c r="BN575" s="110"/>
      <c r="BO575" s="110"/>
      <c r="BP575" s="110"/>
      <c r="BQ575" s="110"/>
      <c r="BR575" s="110"/>
      <c r="BS575" s="110"/>
      <c r="BT575" s="110"/>
      <c r="BU575" s="110"/>
      <c r="BV575" s="110"/>
      <c r="BW575" s="110"/>
      <c r="BX575" s="110"/>
      <c r="BY575" s="110"/>
      <c r="BZ575" s="110"/>
      <c r="CA575" s="110"/>
      <c r="CB575" s="110"/>
      <c r="CC575" s="110"/>
    </row>
    <row r="576" spans="1:81" ht="12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  <c r="AU576" s="110"/>
      <c r="AV576" s="110"/>
      <c r="AW576" s="110"/>
      <c r="AX576" s="110"/>
      <c r="AY576" s="110"/>
      <c r="AZ576" s="110"/>
      <c r="BA576" s="110"/>
      <c r="BB576" s="110"/>
      <c r="BC576" s="110"/>
      <c r="BD576" s="110"/>
      <c r="BE576" s="110"/>
      <c r="BF576" s="110"/>
      <c r="BG576" s="110"/>
      <c r="BH576" s="110"/>
      <c r="BI576" s="110"/>
      <c r="BJ576" s="110"/>
      <c r="BK576" s="110"/>
      <c r="BL576" s="110"/>
      <c r="BM576" s="110"/>
      <c r="BN576" s="110"/>
      <c r="BO576" s="110"/>
      <c r="BP576" s="110"/>
      <c r="BQ576" s="110"/>
      <c r="BR576" s="110"/>
      <c r="BS576" s="110"/>
      <c r="BT576" s="110"/>
      <c r="BU576" s="110"/>
      <c r="BV576" s="110"/>
      <c r="BW576" s="110"/>
      <c r="BX576" s="110"/>
      <c r="BY576" s="110"/>
      <c r="BZ576" s="110"/>
      <c r="CA576" s="110"/>
      <c r="CB576" s="110"/>
      <c r="CC576" s="110"/>
    </row>
    <row r="577" spans="1:81" ht="12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  <c r="AU577" s="110"/>
      <c r="AV577" s="110"/>
      <c r="AW577" s="110"/>
      <c r="AX577" s="110"/>
      <c r="AY577" s="110"/>
      <c r="AZ577" s="110"/>
      <c r="BA577" s="110"/>
      <c r="BB577" s="110"/>
      <c r="BC577" s="110"/>
      <c r="BD577" s="110"/>
      <c r="BE577" s="110"/>
      <c r="BF577" s="110"/>
      <c r="BG577" s="110"/>
      <c r="BH577" s="110"/>
      <c r="BI577" s="110"/>
      <c r="BJ577" s="110"/>
      <c r="BK577" s="110"/>
      <c r="BL577" s="110"/>
      <c r="BM577" s="110"/>
      <c r="BN577" s="110"/>
      <c r="BO577" s="110"/>
      <c r="BP577" s="110"/>
      <c r="BQ577" s="110"/>
      <c r="BR577" s="110"/>
      <c r="BS577" s="110"/>
      <c r="BT577" s="110"/>
      <c r="BU577" s="110"/>
      <c r="BV577" s="110"/>
      <c r="BW577" s="110"/>
      <c r="BX577" s="110"/>
      <c r="BY577" s="110"/>
      <c r="BZ577" s="110"/>
      <c r="CA577" s="110"/>
      <c r="CB577" s="110"/>
      <c r="CC577" s="110"/>
    </row>
    <row r="578" spans="1:81" ht="12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  <c r="AU578" s="110"/>
      <c r="AV578" s="110"/>
      <c r="AW578" s="110"/>
      <c r="AX578" s="110"/>
      <c r="AY578" s="110"/>
      <c r="AZ578" s="110"/>
      <c r="BA578" s="110"/>
      <c r="BB578" s="110"/>
      <c r="BC578" s="110"/>
      <c r="BD578" s="110"/>
      <c r="BE578" s="110"/>
      <c r="BF578" s="110"/>
      <c r="BG578" s="110"/>
      <c r="BH578" s="110"/>
      <c r="BI578" s="110"/>
      <c r="BJ578" s="110"/>
      <c r="BK578" s="110"/>
      <c r="BL578" s="110"/>
      <c r="BM578" s="110"/>
      <c r="BN578" s="110"/>
      <c r="BO578" s="110"/>
      <c r="BP578" s="110"/>
      <c r="BQ578" s="110"/>
      <c r="BR578" s="110"/>
      <c r="BS578" s="110"/>
      <c r="BT578" s="110"/>
      <c r="BU578" s="110"/>
      <c r="BV578" s="110"/>
      <c r="BW578" s="110"/>
      <c r="BX578" s="110"/>
      <c r="BY578" s="110"/>
      <c r="BZ578" s="110"/>
      <c r="CA578" s="110"/>
      <c r="CB578" s="110"/>
      <c r="CC578" s="110"/>
    </row>
    <row r="579" spans="1:81" ht="12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  <c r="AS579" s="110"/>
      <c r="AT579" s="110"/>
      <c r="AU579" s="110"/>
      <c r="AV579" s="110"/>
      <c r="AW579" s="110"/>
      <c r="AX579" s="110"/>
      <c r="AY579" s="110"/>
      <c r="AZ579" s="110"/>
      <c r="BA579" s="110"/>
      <c r="BB579" s="110"/>
      <c r="BC579" s="110"/>
      <c r="BD579" s="110"/>
      <c r="BE579" s="110"/>
      <c r="BF579" s="110"/>
      <c r="BG579" s="110"/>
      <c r="BH579" s="110"/>
      <c r="BI579" s="110"/>
      <c r="BJ579" s="110"/>
      <c r="BK579" s="110"/>
      <c r="BL579" s="110"/>
      <c r="BM579" s="110"/>
      <c r="BN579" s="110"/>
      <c r="BO579" s="110"/>
      <c r="BP579" s="110"/>
      <c r="BQ579" s="110"/>
      <c r="BR579" s="110"/>
      <c r="BS579" s="110"/>
      <c r="BT579" s="110"/>
      <c r="BU579" s="110"/>
      <c r="BV579" s="110"/>
      <c r="BW579" s="110"/>
      <c r="BX579" s="110"/>
      <c r="BY579" s="110"/>
      <c r="BZ579" s="110"/>
      <c r="CA579" s="110"/>
      <c r="CB579" s="110"/>
      <c r="CC579" s="110"/>
    </row>
    <row r="580" spans="1:81" ht="12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  <c r="AS580" s="110"/>
      <c r="AT580" s="110"/>
      <c r="AU580" s="110"/>
      <c r="AV580" s="110"/>
      <c r="AW580" s="110"/>
      <c r="AX580" s="110"/>
      <c r="AY580" s="110"/>
      <c r="AZ580" s="110"/>
      <c r="BA580" s="110"/>
      <c r="BB580" s="110"/>
      <c r="BC580" s="110"/>
      <c r="BD580" s="110"/>
      <c r="BE580" s="110"/>
      <c r="BF580" s="110"/>
      <c r="BG580" s="110"/>
      <c r="BH580" s="110"/>
      <c r="BI580" s="110"/>
      <c r="BJ580" s="110"/>
      <c r="BK580" s="110"/>
      <c r="BL580" s="110"/>
      <c r="BM580" s="110"/>
      <c r="BN580" s="110"/>
      <c r="BO580" s="110"/>
      <c r="BP580" s="110"/>
      <c r="BQ580" s="110"/>
      <c r="BR580" s="110"/>
      <c r="BS580" s="110"/>
      <c r="BT580" s="110"/>
      <c r="BU580" s="110"/>
      <c r="BV580" s="110"/>
      <c r="BW580" s="110"/>
      <c r="BX580" s="110"/>
      <c r="BY580" s="110"/>
      <c r="BZ580" s="110"/>
      <c r="CA580" s="110"/>
      <c r="CB580" s="110"/>
      <c r="CC580" s="110"/>
    </row>
    <row r="581" spans="1:81" ht="12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  <c r="AS581" s="110"/>
      <c r="AT581" s="110"/>
      <c r="AU581" s="110"/>
      <c r="AV581" s="110"/>
      <c r="AW581" s="110"/>
      <c r="AX581" s="110"/>
      <c r="AY581" s="110"/>
      <c r="AZ581" s="110"/>
      <c r="BA581" s="110"/>
      <c r="BB581" s="110"/>
      <c r="BC581" s="110"/>
      <c r="BD581" s="110"/>
      <c r="BE581" s="110"/>
      <c r="BF581" s="110"/>
      <c r="BG581" s="110"/>
      <c r="BH581" s="110"/>
      <c r="BI581" s="110"/>
      <c r="BJ581" s="110"/>
      <c r="BK581" s="110"/>
      <c r="BL581" s="110"/>
      <c r="BM581" s="110"/>
      <c r="BN581" s="110"/>
      <c r="BO581" s="110"/>
      <c r="BP581" s="110"/>
      <c r="BQ581" s="110"/>
      <c r="BR581" s="110"/>
      <c r="BS581" s="110"/>
      <c r="BT581" s="110"/>
      <c r="BU581" s="110"/>
      <c r="BV581" s="110"/>
      <c r="BW581" s="110"/>
      <c r="BX581" s="110"/>
      <c r="BY581" s="110"/>
      <c r="BZ581" s="110"/>
      <c r="CA581" s="110"/>
      <c r="CB581" s="110"/>
      <c r="CC581" s="110"/>
    </row>
    <row r="582" spans="1:81" ht="12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  <c r="AS582" s="110"/>
      <c r="AT582" s="110"/>
      <c r="AU582" s="110"/>
      <c r="AV582" s="110"/>
      <c r="AW582" s="110"/>
      <c r="AX582" s="110"/>
      <c r="AY582" s="110"/>
      <c r="AZ582" s="110"/>
      <c r="BA582" s="110"/>
      <c r="BB582" s="110"/>
      <c r="BC582" s="110"/>
      <c r="BD582" s="110"/>
      <c r="BE582" s="110"/>
      <c r="BF582" s="110"/>
      <c r="BG582" s="110"/>
      <c r="BH582" s="110"/>
      <c r="BI582" s="110"/>
      <c r="BJ582" s="110"/>
      <c r="BK582" s="110"/>
      <c r="BL582" s="110"/>
      <c r="BM582" s="110"/>
      <c r="BN582" s="110"/>
      <c r="BO582" s="110"/>
      <c r="BP582" s="110"/>
      <c r="BQ582" s="110"/>
      <c r="BR582" s="110"/>
      <c r="BS582" s="110"/>
      <c r="BT582" s="110"/>
      <c r="BU582" s="110"/>
      <c r="BV582" s="110"/>
      <c r="BW582" s="110"/>
      <c r="BX582" s="110"/>
      <c r="BY582" s="110"/>
      <c r="BZ582" s="110"/>
      <c r="CA582" s="110"/>
      <c r="CB582" s="110"/>
      <c r="CC582" s="110"/>
    </row>
    <row r="583" spans="1:81" ht="12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  <c r="AS583" s="110"/>
      <c r="AT583" s="110"/>
      <c r="AU583" s="110"/>
      <c r="AV583" s="110"/>
      <c r="AW583" s="110"/>
      <c r="AX583" s="110"/>
      <c r="AY583" s="110"/>
      <c r="AZ583" s="110"/>
      <c r="BA583" s="110"/>
      <c r="BB583" s="110"/>
      <c r="BC583" s="110"/>
      <c r="BD583" s="110"/>
      <c r="BE583" s="110"/>
      <c r="BF583" s="110"/>
      <c r="BG583" s="110"/>
      <c r="BH583" s="110"/>
      <c r="BI583" s="110"/>
      <c r="BJ583" s="110"/>
      <c r="BK583" s="110"/>
      <c r="BL583" s="110"/>
      <c r="BM583" s="110"/>
      <c r="BN583" s="110"/>
      <c r="BO583" s="110"/>
      <c r="BP583" s="110"/>
      <c r="BQ583" s="110"/>
      <c r="BR583" s="110"/>
      <c r="BS583" s="110"/>
      <c r="BT583" s="110"/>
      <c r="BU583" s="110"/>
      <c r="BV583" s="110"/>
      <c r="BW583" s="110"/>
      <c r="BX583" s="110"/>
      <c r="BY583" s="110"/>
      <c r="BZ583" s="110"/>
      <c r="CA583" s="110"/>
      <c r="CB583" s="110"/>
      <c r="CC583" s="110"/>
    </row>
    <row r="584" spans="1:81" ht="12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  <c r="AS584" s="110"/>
      <c r="AT584" s="110"/>
      <c r="AU584" s="110"/>
      <c r="AV584" s="110"/>
      <c r="AW584" s="110"/>
      <c r="AX584" s="110"/>
      <c r="AY584" s="110"/>
      <c r="AZ584" s="110"/>
      <c r="BA584" s="110"/>
      <c r="BB584" s="110"/>
      <c r="BC584" s="110"/>
      <c r="BD584" s="110"/>
      <c r="BE584" s="110"/>
      <c r="BF584" s="110"/>
      <c r="BG584" s="110"/>
      <c r="BH584" s="110"/>
      <c r="BI584" s="110"/>
      <c r="BJ584" s="110"/>
      <c r="BK584" s="110"/>
      <c r="BL584" s="110"/>
      <c r="BM584" s="110"/>
      <c r="BN584" s="110"/>
      <c r="BO584" s="110"/>
      <c r="BP584" s="110"/>
      <c r="BQ584" s="110"/>
      <c r="BR584" s="110"/>
      <c r="BS584" s="110"/>
      <c r="BT584" s="110"/>
      <c r="BU584" s="110"/>
      <c r="BV584" s="110"/>
      <c r="BW584" s="110"/>
      <c r="BX584" s="110"/>
      <c r="BY584" s="110"/>
      <c r="BZ584" s="110"/>
      <c r="CA584" s="110"/>
      <c r="CB584" s="110"/>
      <c r="CC584" s="110"/>
    </row>
    <row r="585" spans="1:81" ht="12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  <c r="AS585" s="110"/>
      <c r="AT585" s="110"/>
      <c r="AU585" s="110"/>
      <c r="AV585" s="110"/>
      <c r="AW585" s="110"/>
      <c r="AX585" s="110"/>
      <c r="AY585" s="110"/>
      <c r="AZ585" s="110"/>
      <c r="BA585" s="110"/>
      <c r="BB585" s="110"/>
      <c r="BC585" s="110"/>
      <c r="BD585" s="110"/>
      <c r="BE585" s="110"/>
      <c r="BF585" s="110"/>
      <c r="BG585" s="110"/>
      <c r="BH585" s="110"/>
      <c r="BI585" s="110"/>
      <c r="BJ585" s="110"/>
      <c r="BK585" s="110"/>
      <c r="BL585" s="110"/>
      <c r="BM585" s="110"/>
      <c r="BN585" s="110"/>
      <c r="BO585" s="110"/>
      <c r="BP585" s="110"/>
      <c r="BQ585" s="110"/>
      <c r="BR585" s="110"/>
      <c r="BS585" s="110"/>
      <c r="BT585" s="110"/>
      <c r="BU585" s="110"/>
      <c r="BV585" s="110"/>
      <c r="BW585" s="110"/>
      <c r="BX585" s="110"/>
      <c r="BY585" s="110"/>
      <c r="BZ585" s="110"/>
      <c r="CA585" s="110"/>
      <c r="CB585" s="110"/>
      <c r="CC585" s="110"/>
    </row>
    <row r="586" spans="1:81" ht="12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  <c r="AU586" s="110"/>
      <c r="AV586" s="110"/>
      <c r="AW586" s="110"/>
      <c r="AX586" s="110"/>
      <c r="AY586" s="110"/>
      <c r="AZ586" s="110"/>
      <c r="BA586" s="110"/>
      <c r="BB586" s="110"/>
      <c r="BC586" s="110"/>
      <c r="BD586" s="110"/>
      <c r="BE586" s="110"/>
      <c r="BF586" s="110"/>
      <c r="BG586" s="110"/>
      <c r="BH586" s="110"/>
      <c r="BI586" s="110"/>
      <c r="BJ586" s="110"/>
      <c r="BK586" s="110"/>
      <c r="BL586" s="110"/>
      <c r="BM586" s="110"/>
      <c r="BN586" s="110"/>
      <c r="BO586" s="110"/>
      <c r="BP586" s="110"/>
      <c r="BQ586" s="110"/>
      <c r="BR586" s="110"/>
      <c r="BS586" s="110"/>
      <c r="BT586" s="110"/>
      <c r="BU586" s="110"/>
      <c r="BV586" s="110"/>
      <c r="BW586" s="110"/>
      <c r="BX586" s="110"/>
      <c r="BY586" s="110"/>
      <c r="BZ586" s="110"/>
      <c r="CA586" s="110"/>
      <c r="CB586" s="110"/>
      <c r="CC586" s="110"/>
    </row>
    <row r="587" spans="1:81" ht="12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  <c r="AS587" s="110"/>
      <c r="AT587" s="110"/>
      <c r="AU587" s="110"/>
      <c r="AV587" s="110"/>
      <c r="AW587" s="110"/>
      <c r="AX587" s="110"/>
      <c r="AY587" s="110"/>
      <c r="AZ587" s="110"/>
      <c r="BA587" s="110"/>
      <c r="BB587" s="110"/>
      <c r="BC587" s="110"/>
      <c r="BD587" s="110"/>
      <c r="BE587" s="110"/>
      <c r="BF587" s="110"/>
      <c r="BG587" s="110"/>
      <c r="BH587" s="110"/>
      <c r="BI587" s="110"/>
      <c r="BJ587" s="110"/>
      <c r="BK587" s="110"/>
      <c r="BL587" s="110"/>
      <c r="BM587" s="110"/>
      <c r="BN587" s="110"/>
      <c r="BO587" s="110"/>
      <c r="BP587" s="110"/>
      <c r="BQ587" s="110"/>
      <c r="BR587" s="110"/>
      <c r="BS587" s="110"/>
      <c r="BT587" s="110"/>
      <c r="BU587" s="110"/>
      <c r="BV587" s="110"/>
      <c r="BW587" s="110"/>
      <c r="BX587" s="110"/>
      <c r="BY587" s="110"/>
      <c r="BZ587" s="110"/>
      <c r="CA587" s="110"/>
      <c r="CB587" s="110"/>
      <c r="CC587" s="110"/>
    </row>
    <row r="588" spans="1:81" ht="12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  <c r="AU588" s="110"/>
      <c r="AV588" s="110"/>
      <c r="AW588" s="110"/>
      <c r="AX588" s="110"/>
      <c r="AY588" s="110"/>
      <c r="AZ588" s="110"/>
      <c r="BA588" s="110"/>
      <c r="BB588" s="110"/>
      <c r="BC588" s="110"/>
      <c r="BD588" s="110"/>
      <c r="BE588" s="110"/>
      <c r="BF588" s="110"/>
      <c r="BG588" s="110"/>
      <c r="BH588" s="110"/>
      <c r="BI588" s="110"/>
      <c r="BJ588" s="110"/>
      <c r="BK588" s="110"/>
      <c r="BL588" s="110"/>
      <c r="BM588" s="110"/>
      <c r="BN588" s="110"/>
      <c r="BO588" s="110"/>
      <c r="BP588" s="110"/>
      <c r="BQ588" s="110"/>
      <c r="BR588" s="110"/>
      <c r="BS588" s="110"/>
      <c r="BT588" s="110"/>
      <c r="BU588" s="110"/>
      <c r="BV588" s="110"/>
      <c r="BW588" s="110"/>
      <c r="BX588" s="110"/>
      <c r="BY588" s="110"/>
      <c r="BZ588" s="110"/>
      <c r="CA588" s="110"/>
      <c r="CB588" s="110"/>
      <c r="CC588" s="110"/>
    </row>
    <row r="589" spans="1:81" ht="12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  <c r="AU589" s="110"/>
      <c r="AV589" s="110"/>
      <c r="AW589" s="110"/>
      <c r="AX589" s="110"/>
      <c r="AY589" s="110"/>
      <c r="AZ589" s="110"/>
      <c r="BA589" s="110"/>
      <c r="BB589" s="110"/>
      <c r="BC589" s="110"/>
      <c r="BD589" s="110"/>
      <c r="BE589" s="110"/>
      <c r="BF589" s="110"/>
      <c r="BG589" s="110"/>
      <c r="BH589" s="110"/>
      <c r="BI589" s="110"/>
      <c r="BJ589" s="110"/>
      <c r="BK589" s="110"/>
      <c r="BL589" s="110"/>
      <c r="BM589" s="110"/>
      <c r="BN589" s="110"/>
      <c r="BO589" s="110"/>
      <c r="BP589" s="110"/>
      <c r="BQ589" s="110"/>
      <c r="BR589" s="110"/>
      <c r="BS589" s="110"/>
      <c r="BT589" s="110"/>
      <c r="BU589" s="110"/>
      <c r="BV589" s="110"/>
      <c r="BW589" s="110"/>
      <c r="BX589" s="110"/>
      <c r="BY589" s="110"/>
      <c r="BZ589" s="110"/>
      <c r="CA589" s="110"/>
      <c r="CB589" s="110"/>
      <c r="CC589" s="110"/>
    </row>
    <row r="590" spans="1:81" ht="12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  <c r="AS590" s="110"/>
      <c r="AT590" s="110"/>
      <c r="AU590" s="110"/>
      <c r="AV590" s="110"/>
      <c r="AW590" s="110"/>
      <c r="AX590" s="110"/>
      <c r="AY590" s="110"/>
      <c r="AZ590" s="110"/>
      <c r="BA590" s="110"/>
      <c r="BB590" s="110"/>
      <c r="BC590" s="110"/>
      <c r="BD590" s="110"/>
      <c r="BE590" s="110"/>
      <c r="BF590" s="110"/>
      <c r="BG590" s="110"/>
      <c r="BH590" s="110"/>
      <c r="BI590" s="110"/>
      <c r="BJ590" s="110"/>
      <c r="BK590" s="110"/>
      <c r="BL590" s="110"/>
      <c r="BM590" s="110"/>
      <c r="BN590" s="110"/>
      <c r="BO590" s="110"/>
      <c r="BP590" s="110"/>
      <c r="BQ590" s="110"/>
      <c r="BR590" s="110"/>
      <c r="BS590" s="110"/>
      <c r="BT590" s="110"/>
      <c r="BU590" s="110"/>
      <c r="BV590" s="110"/>
      <c r="BW590" s="110"/>
      <c r="BX590" s="110"/>
      <c r="BY590" s="110"/>
      <c r="BZ590" s="110"/>
      <c r="CA590" s="110"/>
      <c r="CB590" s="110"/>
      <c r="CC590" s="110"/>
    </row>
    <row r="591" spans="1:81" ht="12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  <c r="AS591" s="110"/>
      <c r="AT591" s="110"/>
      <c r="AU591" s="110"/>
      <c r="AV591" s="110"/>
      <c r="AW591" s="110"/>
      <c r="AX591" s="110"/>
      <c r="AY591" s="110"/>
      <c r="AZ591" s="110"/>
      <c r="BA591" s="110"/>
      <c r="BB591" s="110"/>
      <c r="BC591" s="110"/>
      <c r="BD591" s="110"/>
      <c r="BE591" s="110"/>
      <c r="BF591" s="110"/>
      <c r="BG591" s="110"/>
      <c r="BH591" s="110"/>
      <c r="BI591" s="110"/>
      <c r="BJ591" s="110"/>
      <c r="BK591" s="110"/>
      <c r="BL591" s="110"/>
      <c r="BM591" s="110"/>
      <c r="BN591" s="110"/>
      <c r="BO591" s="110"/>
      <c r="BP591" s="110"/>
      <c r="BQ591" s="110"/>
      <c r="BR591" s="110"/>
      <c r="BS591" s="110"/>
      <c r="BT591" s="110"/>
      <c r="BU591" s="110"/>
      <c r="BV591" s="110"/>
      <c r="BW591" s="110"/>
      <c r="BX591" s="110"/>
      <c r="BY591" s="110"/>
      <c r="BZ591" s="110"/>
      <c r="CA591" s="110"/>
      <c r="CB591" s="110"/>
      <c r="CC591" s="110"/>
    </row>
    <row r="592" spans="1:81" ht="12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  <c r="AS592" s="110"/>
      <c r="AT592" s="110"/>
      <c r="AU592" s="110"/>
      <c r="AV592" s="110"/>
      <c r="AW592" s="110"/>
      <c r="AX592" s="110"/>
      <c r="AY592" s="110"/>
      <c r="AZ592" s="110"/>
      <c r="BA592" s="110"/>
      <c r="BB592" s="110"/>
      <c r="BC592" s="110"/>
      <c r="BD592" s="110"/>
      <c r="BE592" s="110"/>
      <c r="BF592" s="110"/>
      <c r="BG592" s="110"/>
      <c r="BH592" s="110"/>
      <c r="BI592" s="110"/>
      <c r="BJ592" s="110"/>
      <c r="BK592" s="110"/>
      <c r="BL592" s="110"/>
      <c r="BM592" s="110"/>
      <c r="BN592" s="110"/>
      <c r="BO592" s="110"/>
      <c r="BP592" s="110"/>
      <c r="BQ592" s="110"/>
      <c r="BR592" s="110"/>
      <c r="BS592" s="110"/>
      <c r="BT592" s="110"/>
      <c r="BU592" s="110"/>
      <c r="BV592" s="110"/>
      <c r="BW592" s="110"/>
      <c r="BX592" s="110"/>
      <c r="BY592" s="110"/>
      <c r="BZ592" s="110"/>
      <c r="CA592" s="110"/>
      <c r="CB592" s="110"/>
      <c r="CC592" s="110"/>
    </row>
    <row r="593" spans="1:81" ht="12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  <c r="AS593" s="110"/>
      <c r="AT593" s="110"/>
      <c r="AU593" s="110"/>
      <c r="AV593" s="110"/>
      <c r="AW593" s="110"/>
      <c r="AX593" s="110"/>
      <c r="AY593" s="110"/>
      <c r="AZ593" s="110"/>
      <c r="BA593" s="110"/>
      <c r="BB593" s="110"/>
      <c r="BC593" s="110"/>
      <c r="BD593" s="110"/>
      <c r="BE593" s="110"/>
      <c r="BF593" s="110"/>
      <c r="BG593" s="110"/>
      <c r="BH593" s="110"/>
      <c r="BI593" s="110"/>
      <c r="BJ593" s="110"/>
      <c r="BK593" s="110"/>
      <c r="BL593" s="110"/>
      <c r="BM593" s="110"/>
      <c r="BN593" s="110"/>
      <c r="BO593" s="110"/>
      <c r="BP593" s="110"/>
      <c r="BQ593" s="110"/>
      <c r="BR593" s="110"/>
      <c r="BS593" s="110"/>
      <c r="BT593" s="110"/>
      <c r="BU593" s="110"/>
      <c r="BV593" s="110"/>
      <c r="BW593" s="110"/>
      <c r="BX593" s="110"/>
      <c r="BY593" s="110"/>
      <c r="BZ593" s="110"/>
      <c r="CA593" s="110"/>
      <c r="CB593" s="110"/>
      <c r="CC593" s="110"/>
    </row>
    <row r="594" spans="1:81" ht="12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  <c r="AU594" s="110"/>
      <c r="AV594" s="110"/>
      <c r="AW594" s="110"/>
      <c r="AX594" s="110"/>
      <c r="AY594" s="110"/>
      <c r="AZ594" s="110"/>
      <c r="BA594" s="110"/>
      <c r="BB594" s="110"/>
      <c r="BC594" s="110"/>
      <c r="BD594" s="110"/>
      <c r="BE594" s="110"/>
      <c r="BF594" s="110"/>
      <c r="BG594" s="110"/>
      <c r="BH594" s="110"/>
      <c r="BI594" s="110"/>
      <c r="BJ594" s="110"/>
      <c r="BK594" s="110"/>
      <c r="BL594" s="110"/>
      <c r="BM594" s="110"/>
      <c r="BN594" s="110"/>
      <c r="BO594" s="110"/>
      <c r="BP594" s="110"/>
      <c r="BQ594" s="110"/>
      <c r="BR594" s="110"/>
      <c r="BS594" s="110"/>
      <c r="BT594" s="110"/>
      <c r="BU594" s="110"/>
      <c r="BV594" s="110"/>
      <c r="BW594" s="110"/>
      <c r="BX594" s="110"/>
      <c r="BY594" s="110"/>
      <c r="BZ594" s="110"/>
      <c r="CA594" s="110"/>
      <c r="CB594" s="110"/>
      <c r="CC594" s="110"/>
    </row>
    <row r="595" spans="1:81" ht="12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  <c r="AU595" s="110"/>
      <c r="AV595" s="110"/>
      <c r="AW595" s="110"/>
      <c r="AX595" s="110"/>
      <c r="AY595" s="110"/>
      <c r="AZ595" s="110"/>
      <c r="BA595" s="110"/>
      <c r="BB595" s="110"/>
      <c r="BC595" s="110"/>
      <c r="BD595" s="110"/>
      <c r="BE595" s="110"/>
      <c r="BF595" s="110"/>
      <c r="BG595" s="110"/>
      <c r="BH595" s="110"/>
      <c r="BI595" s="110"/>
      <c r="BJ595" s="110"/>
      <c r="BK595" s="110"/>
      <c r="BL595" s="110"/>
      <c r="BM595" s="110"/>
      <c r="BN595" s="110"/>
      <c r="BO595" s="110"/>
      <c r="BP595" s="110"/>
      <c r="BQ595" s="110"/>
      <c r="BR595" s="110"/>
      <c r="BS595" s="110"/>
      <c r="BT595" s="110"/>
      <c r="BU595" s="110"/>
      <c r="BV595" s="110"/>
      <c r="BW595" s="110"/>
      <c r="BX595" s="110"/>
      <c r="BY595" s="110"/>
      <c r="BZ595" s="110"/>
      <c r="CA595" s="110"/>
      <c r="CB595" s="110"/>
      <c r="CC595" s="110"/>
    </row>
    <row r="596" spans="1:81" ht="12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  <c r="AU596" s="110"/>
      <c r="AV596" s="110"/>
      <c r="AW596" s="110"/>
      <c r="AX596" s="110"/>
      <c r="AY596" s="110"/>
      <c r="AZ596" s="110"/>
      <c r="BA596" s="110"/>
      <c r="BB596" s="110"/>
      <c r="BC596" s="110"/>
      <c r="BD596" s="110"/>
      <c r="BE596" s="110"/>
      <c r="BF596" s="110"/>
      <c r="BG596" s="110"/>
      <c r="BH596" s="110"/>
      <c r="BI596" s="110"/>
      <c r="BJ596" s="110"/>
      <c r="BK596" s="110"/>
      <c r="BL596" s="110"/>
      <c r="BM596" s="110"/>
      <c r="BN596" s="110"/>
      <c r="BO596" s="110"/>
      <c r="BP596" s="110"/>
      <c r="BQ596" s="110"/>
      <c r="BR596" s="110"/>
      <c r="BS596" s="110"/>
      <c r="BT596" s="110"/>
      <c r="BU596" s="110"/>
      <c r="BV596" s="110"/>
      <c r="BW596" s="110"/>
      <c r="BX596" s="110"/>
      <c r="BY596" s="110"/>
      <c r="BZ596" s="110"/>
      <c r="CA596" s="110"/>
      <c r="CB596" s="110"/>
      <c r="CC596" s="110"/>
    </row>
    <row r="597" spans="1:81" ht="12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  <c r="AU597" s="110"/>
      <c r="AV597" s="110"/>
      <c r="AW597" s="110"/>
      <c r="AX597" s="110"/>
      <c r="AY597" s="110"/>
      <c r="AZ597" s="110"/>
      <c r="BA597" s="110"/>
      <c r="BB597" s="110"/>
      <c r="BC597" s="110"/>
      <c r="BD597" s="110"/>
      <c r="BE597" s="110"/>
      <c r="BF597" s="110"/>
      <c r="BG597" s="110"/>
      <c r="BH597" s="110"/>
      <c r="BI597" s="110"/>
      <c r="BJ597" s="110"/>
      <c r="BK597" s="110"/>
      <c r="BL597" s="110"/>
      <c r="BM597" s="110"/>
      <c r="BN597" s="110"/>
      <c r="BO597" s="110"/>
      <c r="BP597" s="110"/>
      <c r="BQ597" s="110"/>
      <c r="BR597" s="110"/>
      <c r="BS597" s="110"/>
      <c r="BT597" s="110"/>
      <c r="BU597" s="110"/>
      <c r="BV597" s="110"/>
      <c r="BW597" s="110"/>
      <c r="BX597" s="110"/>
      <c r="BY597" s="110"/>
      <c r="BZ597" s="110"/>
      <c r="CA597" s="110"/>
      <c r="CB597" s="110"/>
      <c r="CC597" s="110"/>
    </row>
    <row r="598" spans="1:81" ht="12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  <c r="AU598" s="110"/>
      <c r="AV598" s="110"/>
      <c r="AW598" s="110"/>
      <c r="AX598" s="110"/>
      <c r="AY598" s="110"/>
      <c r="AZ598" s="110"/>
      <c r="BA598" s="110"/>
      <c r="BB598" s="110"/>
      <c r="BC598" s="110"/>
      <c r="BD598" s="110"/>
      <c r="BE598" s="110"/>
      <c r="BF598" s="110"/>
      <c r="BG598" s="110"/>
      <c r="BH598" s="110"/>
      <c r="BI598" s="110"/>
      <c r="BJ598" s="110"/>
      <c r="BK598" s="110"/>
      <c r="BL598" s="110"/>
      <c r="BM598" s="110"/>
      <c r="BN598" s="110"/>
      <c r="BO598" s="110"/>
      <c r="BP598" s="110"/>
      <c r="BQ598" s="110"/>
      <c r="BR598" s="110"/>
      <c r="BS598" s="110"/>
      <c r="BT598" s="110"/>
      <c r="BU598" s="110"/>
      <c r="BV598" s="110"/>
      <c r="BW598" s="110"/>
      <c r="BX598" s="110"/>
      <c r="BY598" s="110"/>
      <c r="BZ598" s="110"/>
      <c r="CA598" s="110"/>
      <c r="CB598" s="110"/>
      <c r="CC598" s="110"/>
    </row>
    <row r="599" spans="1:81" ht="12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  <c r="AU599" s="110"/>
      <c r="AV599" s="110"/>
      <c r="AW599" s="110"/>
      <c r="AX599" s="110"/>
      <c r="AY599" s="110"/>
      <c r="AZ599" s="110"/>
      <c r="BA599" s="110"/>
      <c r="BB599" s="110"/>
      <c r="BC599" s="110"/>
      <c r="BD599" s="110"/>
      <c r="BE599" s="110"/>
      <c r="BF599" s="110"/>
      <c r="BG599" s="110"/>
      <c r="BH599" s="110"/>
      <c r="BI599" s="110"/>
      <c r="BJ599" s="110"/>
      <c r="BK599" s="110"/>
      <c r="BL599" s="110"/>
      <c r="BM599" s="110"/>
      <c r="BN599" s="110"/>
      <c r="BO599" s="110"/>
      <c r="BP599" s="110"/>
      <c r="BQ599" s="110"/>
      <c r="BR599" s="110"/>
      <c r="BS599" s="110"/>
      <c r="BT599" s="110"/>
      <c r="BU599" s="110"/>
      <c r="BV599" s="110"/>
      <c r="BW599" s="110"/>
      <c r="BX599" s="110"/>
      <c r="BY599" s="110"/>
      <c r="BZ599" s="110"/>
      <c r="CA599" s="110"/>
      <c r="CB599" s="110"/>
      <c r="CC599" s="110"/>
    </row>
    <row r="600" spans="1:81" ht="12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  <c r="AU600" s="110"/>
      <c r="AV600" s="110"/>
      <c r="AW600" s="110"/>
      <c r="AX600" s="110"/>
      <c r="AY600" s="110"/>
      <c r="AZ600" s="110"/>
      <c r="BA600" s="110"/>
      <c r="BB600" s="110"/>
      <c r="BC600" s="110"/>
      <c r="BD600" s="110"/>
      <c r="BE600" s="110"/>
      <c r="BF600" s="110"/>
      <c r="BG600" s="110"/>
      <c r="BH600" s="110"/>
      <c r="BI600" s="110"/>
      <c r="BJ600" s="110"/>
      <c r="BK600" s="110"/>
      <c r="BL600" s="110"/>
      <c r="BM600" s="110"/>
      <c r="BN600" s="110"/>
      <c r="BO600" s="110"/>
      <c r="BP600" s="110"/>
      <c r="BQ600" s="110"/>
      <c r="BR600" s="110"/>
      <c r="BS600" s="110"/>
      <c r="BT600" s="110"/>
      <c r="BU600" s="110"/>
      <c r="BV600" s="110"/>
      <c r="BW600" s="110"/>
      <c r="BX600" s="110"/>
      <c r="BY600" s="110"/>
      <c r="BZ600" s="110"/>
      <c r="CA600" s="110"/>
      <c r="CB600" s="110"/>
      <c r="CC600" s="110"/>
    </row>
    <row r="601" spans="1:81" ht="12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  <c r="AU601" s="110"/>
      <c r="AV601" s="110"/>
      <c r="AW601" s="110"/>
      <c r="AX601" s="110"/>
      <c r="AY601" s="110"/>
      <c r="AZ601" s="110"/>
      <c r="BA601" s="110"/>
      <c r="BB601" s="110"/>
      <c r="BC601" s="110"/>
      <c r="BD601" s="110"/>
      <c r="BE601" s="110"/>
      <c r="BF601" s="110"/>
      <c r="BG601" s="110"/>
      <c r="BH601" s="110"/>
      <c r="BI601" s="110"/>
      <c r="BJ601" s="110"/>
      <c r="BK601" s="110"/>
      <c r="BL601" s="110"/>
      <c r="BM601" s="110"/>
      <c r="BN601" s="110"/>
      <c r="BO601" s="110"/>
      <c r="BP601" s="110"/>
      <c r="BQ601" s="110"/>
      <c r="BR601" s="110"/>
      <c r="BS601" s="110"/>
      <c r="BT601" s="110"/>
      <c r="BU601" s="110"/>
      <c r="BV601" s="110"/>
      <c r="BW601" s="110"/>
      <c r="BX601" s="110"/>
      <c r="BY601" s="110"/>
      <c r="BZ601" s="110"/>
      <c r="CA601" s="110"/>
      <c r="CB601" s="110"/>
      <c r="CC601" s="110"/>
    </row>
    <row r="602" spans="1:81" ht="12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  <c r="AU602" s="110"/>
      <c r="AV602" s="110"/>
      <c r="AW602" s="110"/>
      <c r="AX602" s="110"/>
      <c r="AY602" s="110"/>
      <c r="AZ602" s="110"/>
      <c r="BA602" s="110"/>
      <c r="BB602" s="110"/>
      <c r="BC602" s="110"/>
      <c r="BD602" s="110"/>
      <c r="BE602" s="110"/>
      <c r="BF602" s="110"/>
      <c r="BG602" s="110"/>
      <c r="BH602" s="110"/>
      <c r="BI602" s="110"/>
      <c r="BJ602" s="110"/>
      <c r="BK602" s="110"/>
      <c r="BL602" s="110"/>
      <c r="BM602" s="110"/>
      <c r="BN602" s="110"/>
      <c r="BO602" s="110"/>
      <c r="BP602" s="110"/>
      <c r="BQ602" s="110"/>
      <c r="BR602" s="110"/>
      <c r="BS602" s="110"/>
      <c r="BT602" s="110"/>
      <c r="BU602" s="110"/>
      <c r="BV602" s="110"/>
      <c r="BW602" s="110"/>
      <c r="BX602" s="110"/>
      <c r="BY602" s="110"/>
      <c r="BZ602" s="110"/>
      <c r="CA602" s="110"/>
      <c r="CB602" s="110"/>
      <c r="CC602" s="110"/>
    </row>
    <row r="603" spans="1:81" ht="12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  <c r="AU603" s="110"/>
      <c r="AV603" s="110"/>
      <c r="AW603" s="110"/>
      <c r="AX603" s="110"/>
      <c r="AY603" s="110"/>
      <c r="AZ603" s="110"/>
      <c r="BA603" s="110"/>
      <c r="BB603" s="110"/>
      <c r="BC603" s="110"/>
      <c r="BD603" s="110"/>
      <c r="BE603" s="110"/>
      <c r="BF603" s="110"/>
      <c r="BG603" s="110"/>
      <c r="BH603" s="110"/>
      <c r="BI603" s="110"/>
      <c r="BJ603" s="110"/>
      <c r="BK603" s="110"/>
      <c r="BL603" s="110"/>
      <c r="BM603" s="110"/>
      <c r="BN603" s="110"/>
      <c r="BO603" s="110"/>
      <c r="BP603" s="110"/>
      <c r="BQ603" s="110"/>
      <c r="BR603" s="110"/>
      <c r="BS603" s="110"/>
      <c r="BT603" s="110"/>
      <c r="BU603" s="110"/>
      <c r="BV603" s="110"/>
      <c r="BW603" s="110"/>
      <c r="BX603" s="110"/>
      <c r="BY603" s="110"/>
      <c r="BZ603" s="110"/>
      <c r="CA603" s="110"/>
      <c r="CB603" s="110"/>
      <c r="CC603" s="110"/>
    </row>
    <row r="604" spans="1:81" ht="12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  <c r="AU604" s="110"/>
      <c r="AV604" s="110"/>
      <c r="AW604" s="110"/>
      <c r="AX604" s="110"/>
      <c r="AY604" s="110"/>
      <c r="AZ604" s="110"/>
      <c r="BA604" s="110"/>
      <c r="BB604" s="110"/>
      <c r="BC604" s="110"/>
      <c r="BD604" s="110"/>
      <c r="BE604" s="110"/>
      <c r="BF604" s="110"/>
      <c r="BG604" s="110"/>
      <c r="BH604" s="110"/>
      <c r="BI604" s="110"/>
      <c r="BJ604" s="110"/>
      <c r="BK604" s="110"/>
      <c r="BL604" s="110"/>
      <c r="BM604" s="110"/>
      <c r="BN604" s="110"/>
      <c r="BO604" s="110"/>
      <c r="BP604" s="110"/>
      <c r="BQ604" s="110"/>
      <c r="BR604" s="110"/>
      <c r="BS604" s="110"/>
      <c r="BT604" s="110"/>
      <c r="BU604" s="110"/>
      <c r="BV604" s="110"/>
      <c r="BW604" s="110"/>
      <c r="BX604" s="110"/>
      <c r="BY604" s="110"/>
      <c r="BZ604" s="110"/>
      <c r="CA604" s="110"/>
      <c r="CB604" s="110"/>
      <c r="CC604" s="110"/>
    </row>
    <row r="605" spans="1:81" ht="12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  <c r="AU605" s="110"/>
      <c r="AV605" s="110"/>
      <c r="AW605" s="110"/>
      <c r="AX605" s="110"/>
      <c r="AY605" s="110"/>
      <c r="AZ605" s="110"/>
      <c r="BA605" s="110"/>
      <c r="BB605" s="110"/>
      <c r="BC605" s="110"/>
      <c r="BD605" s="110"/>
      <c r="BE605" s="110"/>
      <c r="BF605" s="110"/>
      <c r="BG605" s="110"/>
      <c r="BH605" s="110"/>
      <c r="BI605" s="110"/>
      <c r="BJ605" s="110"/>
      <c r="BK605" s="110"/>
      <c r="BL605" s="110"/>
      <c r="BM605" s="110"/>
      <c r="BN605" s="110"/>
      <c r="BO605" s="110"/>
      <c r="BP605" s="110"/>
      <c r="BQ605" s="110"/>
      <c r="BR605" s="110"/>
      <c r="BS605" s="110"/>
      <c r="BT605" s="110"/>
      <c r="BU605" s="110"/>
      <c r="BV605" s="110"/>
      <c r="BW605" s="110"/>
      <c r="BX605" s="110"/>
      <c r="BY605" s="110"/>
      <c r="BZ605" s="110"/>
      <c r="CA605" s="110"/>
      <c r="CB605" s="110"/>
      <c r="CC605" s="110"/>
    </row>
    <row r="606" spans="1:81" ht="12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  <c r="AS606" s="110"/>
      <c r="AT606" s="110"/>
      <c r="AU606" s="110"/>
      <c r="AV606" s="110"/>
      <c r="AW606" s="110"/>
      <c r="AX606" s="110"/>
      <c r="AY606" s="110"/>
      <c r="AZ606" s="110"/>
      <c r="BA606" s="110"/>
      <c r="BB606" s="110"/>
      <c r="BC606" s="110"/>
      <c r="BD606" s="110"/>
      <c r="BE606" s="110"/>
      <c r="BF606" s="110"/>
      <c r="BG606" s="110"/>
      <c r="BH606" s="110"/>
      <c r="BI606" s="110"/>
      <c r="BJ606" s="110"/>
      <c r="BK606" s="110"/>
      <c r="BL606" s="110"/>
      <c r="BM606" s="110"/>
      <c r="BN606" s="110"/>
      <c r="BO606" s="110"/>
      <c r="BP606" s="110"/>
      <c r="BQ606" s="110"/>
      <c r="BR606" s="110"/>
      <c r="BS606" s="110"/>
      <c r="BT606" s="110"/>
      <c r="BU606" s="110"/>
      <c r="BV606" s="110"/>
      <c r="BW606" s="110"/>
      <c r="BX606" s="110"/>
      <c r="BY606" s="110"/>
      <c r="BZ606" s="110"/>
      <c r="CA606" s="110"/>
      <c r="CB606" s="110"/>
      <c r="CC606" s="110"/>
    </row>
    <row r="607" spans="1:81" ht="12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  <c r="AS607" s="110"/>
      <c r="AT607" s="110"/>
      <c r="AU607" s="110"/>
      <c r="AV607" s="110"/>
      <c r="AW607" s="110"/>
      <c r="AX607" s="110"/>
      <c r="AY607" s="110"/>
      <c r="AZ607" s="110"/>
      <c r="BA607" s="110"/>
      <c r="BB607" s="110"/>
      <c r="BC607" s="110"/>
      <c r="BD607" s="110"/>
      <c r="BE607" s="110"/>
      <c r="BF607" s="110"/>
      <c r="BG607" s="110"/>
      <c r="BH607" s="110"/>
      <c r="BI607" s="110"/>
      <c r="BJ607" s="110"/>
      <c r="BK607" s="110"/>
      <c r="BL607" s="110"/>
      <c r="BM607" s="110"/>
      <c r="BN607" s="110"/>
      <c r="BO607" s="110"/>
      <c r="BP607" s="110"/>
      <c r="BQ607" s="110"/>
      <c r="BR607" s="110"/>
      <c r="BS607" s="110"/>
      <c r="BT607" s="110"/>
      <c r="BU607" s="110"/>
      <c r="BV607" s="110"/>
      <c r="BW607" s="110"/>
      <c r="BX607" s="110"/>
      <c r="BY607" s="110"/>
      <c r="BZ607" s="110"/>
      <c r="CA607" s="110"/>
      <c r="CB607" s="110"/>
      <c r="CC607" s="110"/>
    </row>
    <row r="608" spans="1:81" ht="12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  <c r="AS608" s="110"/>
      <c r="AT608" s="110"/>
      <c r="AU608" s="110"/>
      <c r="AV608" s="110"/>
      <c r="AW608" s="110"/>
      <c r="AX608" s="110"/>
      <c r="AY608" s="110"/>
      <c r="AZ608" s="110"/>
      <c r="BA608" s="110"/>
      <c r="BB608" s="110"/>
      <c r="BC608" s="110"/>
      <c r="BD608" s="110"/>
      <c r="BE608" s="110"/>
      <c r="BF608" s="110"/>
      <c r="BG608" s="110"/>
      <c r="BH608" s="110"/>
      <c r="BI608" s="110"/>
      <c r="BJ608" s="110"/>
      <c r="BK608" s="110"/>
      <c r="BL608" s="110"/>
      <c r="BM608" s="110"/>
      <c r="BN608" s="110"/>
      <c r="BO608" s="110"/>
      <c r="BP608" s="110"/>
      <c r="BQ608" s="110"/>
      <c r="BR608" s="110"/>
      <c r="BS608" s="110"/>
      <c r="BT608" s="110"/>
      <c r="BU608" s="110"/>
      <c r="BV608" s="110"/>
      <c r="BW608" s="110"/>
      <c r="BX608" s="110"/>
      <c r="BY608" s="110"/>
      <c r="BZ608" s="110"/>
      <c r="CA608" s="110"/>
      <c r="CB608" s="110"/>
      <c r="CC608" s="110"/>
    </row>
    <row r="609" spans="1:81" ht="12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  <c r="AS609" s="110"/>
      <c r="AT609" s="110"/>
      <c r="AU609" s="110"/>
      <c r="AV609" s="110"/>
      <c r="AW609" s="110"/>
      <c r="AX609" s="110"/>
      <c r="AY609" s="110"/>
      <c r="AZ609" s="110"/>
      <c r="BA609" s="110"/>
      <c r="BB609" s="110"/>
      <c r="BC609" s="110"/>
      <c r="BD609" s="110"/>
      <c r="BE609" s="110"/>
      <c r="BF609" s="110"/>
      <c r="BG609" s="110"/>
      <c r="BH609" s="110"/>
      <c r="BI609" s="110"/>
      <c r="BJ609" s="110"/>
      <c r="BK609" s="110"/>
      <c r="BL609" s="110"/>
      <c r="BM609" s="110"/>
      <c r="BN609" s="110"/>
      <c r="BO609" s="110"/>
      <c r="BP609" s="110"/>
      <c r="BQ609" s="110"/>
      <c r="BR609" s="110"/>
      <c r="BS609" s="110"/>
      <c r="BT609" s="110"/>
      <c r="BU609" s="110"/>
      <c r="BV609" s="110"/>
      <c r="BW609" s="110"/>
      <c r="BX609" s="110"/>
      <c r="BY609" s="110"/>
      <c r="BZ609" s="110"/>
      <c r="CA609" s="110"/>
      <c r="CB609" s="110"/>
      <c r="CC609" s="110"/>
    </row>
    <row r="610" spans="1:81" ht="12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  <c r="AS610" s="110"/>
      <c r="AT610" s="110"/>
      <c r="AU610" s="110"/>
      <c r="AV610" s="110"/>
      <c r="AW610" s="110"/>
      <c r="AX610" s="110"/>
      <c r="AY610" s="110"/>
      <c r="AZ610" s="110"/>
      <c r="BA610" s="110"/>
      <c r="BB610" s="110"/>
      <c r="BC610" s="110"/>
      <c r="BD610" s="110"/>
      <c r="BE610" s="110"/>
      <c r="BF610" s="110"/>
      <c r="BG610" s="110"/>
      <c r="BH610" s="110"/>
      <c r="BI610" s="110"/>
      <c r="BJ610" s="110"/>
      <c r="BK610" s="110"/>
      <c r="BL610" s="110"/>
      <c r="BM610" s="110"/>
      <c r="BN610" s="110"/>
      <c r="BO610" s="110"/>
      <c r="BP610" s="110"/>
      <c r="BQ610" s="110"/>
      <c r="BR610" s="110"/>
      <c r="BS610" s="110"/>
      <c r="BT610" s="110"/>
      <c r="BU610" s="110"/>
      <c r="BV610" s="110"/>
      <c r="BW610" s="110"/>
      <c r="BX610" s="110"/>
      <c r="BY610" s="110"/>
      <c r="BZ610" s="110"/>
      <c r="CA610" s="110"/>
      <c r="CB610" s="110"/>
      <c r="CC610" s="110"/>
    </row>
    <row r="611" spans="1:81" ht="12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  <c r="AV611" s="110"/>
      <c r="AW611" s="110"/>
      <c r="AX611" s="110"/>
      <c r="AY611" s="110"/>
      <c r="AZ611" s="110"/>
      <c r="BA611" s="110"/>
      <c r="BB611" s="110"/>
      <c r="BC611" s="110"/>
      <c r="BD611" s="110"/>
      <c r="BE611" s="110"/>
      <c r="BF611" s="110"/>
      <c r="BG611" s="110"/>
      <c r="BH611" s="110"/>
      <c r="BI611" s="110"/>
      <c r="BJ611" s="110"/>
      <c r="BK611" s="110"/>
      <c r="BL611" s="110"/>
      <c r="BM611" s="110"/>
      <c r="BN611" s="110"/>
      <c r="BO611" s="110"/>
      <c r="BP611" s="110"/>
      <c r="BQ611" s="110"/>
      <c r="BR611" s="110"/>
      <c r="BS611" s="110"/>
      <c r="BT611" s="110"/>
      <c r="BU611" s="110"/>
      <c r="BV611" s="110"/>
      <c r="BW611" s="110"/>
      <c r="BX611" s="110"/>
      <c r="BY611" s="110"/>
      <c r="BZ611" s="110"/>
      <c r="CA611" s="110"/>
      <c r="CB611" s="110"/>
      <c r="CC611" s="110"/>
    </row>
    <row r="612" spans="1:81" ht="12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  <c r="AS612" s="110"/>
      <c r="AT612" s="110"/>
      <c r="AU612" s="110"/>
      <c r="AV612" s="110"/>
      <c r="AW612" s="110"/>
      <c r="AX612" s="110"/>
      <c r="AY612" s="110"/>
      <c r="AZ612" s="110"/>
      <c r="BA612" s="110"/>
      <c r="BB612" s="110"/>
      <c r="BC612" s="110"/>
      <c r="BD612" s="110"/>
      <c r="BE612" s="110"/>
      <c r="BF612" s="110"/>
      <c r="BG612" s="110"/>
      <c r="BH612" s="110"/>
      <c r="BI612" s="110"/>
      <c r="BJ612" s="110"/>
      <c r="BK612" s="110"/>
      <c r="BL612" s="110"/>
      <c r="BM612" s="110"/>
      <c r="BN612" s="110"/>
      <c r="BO612" s="110"/>
      <c r="BP612" s="110"/>
      <c r="BQ612" s="110"/>
      <c r="BR612" s="110"/>
      <c r="BS612" s="110"/>
      <c r="BT612" s="110"/>
      <c r="BU612" s="110"/>
      <c r="BV612" s="110"/>
      <c r="BW612" s="110"/>
      <c r="BX612" s="110"/>
      <c r="BY612" s="110"/>
      <c r="BZ612" s="110"/>
      <c r="CA612" s="110"/>
      <c r="CB612" s="110"/>
      <c r="CC612" s="110"/>
    </row>
    <row r="613" spans="1:81" ht="12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  <c r="AS613" s="110"/>
      <c r="AT613" s="110"/>
      <c r="AU613" s="110"/>
      <c r="AV613" s="110"/>
      <c r="AW613" s="110"/>
      <c r="AX613" s="110"/>
      <c r="AY613" s="110"/>
      <c r="AZ613" s="110"/>
      <c r="BA613" s="110"/>
      <c r="BB613" s="110"/>
      <c r="BC613" s="110"/>
      <c r="BD613" s="110"/>
      <c r="BE613" s="110"/>
      <c r="BF613" s="110"/>
      <c r="BG613" s="110"/>
      <c r="BH613" s="110"/>
      <c r="BI613" s="110"/>
      <c r="BJ613" s="110"/>
      <c r="BK613" s="110"/>
      <c r="BL613" s="110"/>
      <c r="BM613" s="110"/>
      <c r="BN613" s="110"/>
      <c r="BO613" s="110"/>
      <c r="BP613" s="110"/>
      <c r="BQ613" s="110"/>
      <c r="BR613" s="110"/>
      <c r="BS613" s="110"/>
      <c r="BT613" s="110"/>
      <c r="BU613" s="110"/>
      <c r="BV613" s="110"/>
      <c r="BW613" s="110"/>
      <c r="BX613" s="110"/>
      <c r="BY613" s="110"/>
      <c r="BZ613" s="110"/>
      <c r="CA613" s="110"/>
      <c r="CB613" s="110"/>
      <c r="CC613" s="110"/>
    </row>
    <row r="614" spans="1:81" ht="12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  <c r="AU614" s="110"/>
      <c r="AV614" s="110"/>
      <c r="AW614" s="110"/>
      <c r="AX614" s="110"/>
      <c r="AY614" s="110"/>
      <c r="AZ614" s="110"/>
      <c r="BA614" s="110"/>
      <c r="BB614" s="110"/>
      <c r="BC614" s="110"/>
      <c r="BD614" s="110"/>
      <c r="BE614" s="110"/>
      <c r="BF614" s="110"/>
      <c r="BG614" s="110"/>
      <c r="BH614" s="110"/>
      <c r="BI614" s="110"/>
      <c r="BJ614" s="110"/>
      <c r="BK614" s="110"/>
      <c r="BL614" s="110"/>
      <c r="BM614" s="110"/>
      <c r="BN614" s="110"/>
      <c r="BO614" s="110"/>
      <c r="BP614" s="110"/>
      <c r="BQ614" s="110"/>
      <c r="BR614" s="110"/>
      <c r="BS614" s="110"/>
      <c r="BT614" s="110"/>
      <c r="BU614" s="110"/>
      <c r="BV614" s="110"/>
      <c r="BW614" s="110"/>
      <c r="BX614" s="110"/>
      <c r="BY614" s="110"/>
      <c r="BZ614" s="110"/>
      <c r="CA614" s="110"/>
      <c r="CB614" s="110"/>
      <c r="CC614" s="110"/>
    </row>
    <row r="615" spans="1:81" ht="12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  <c r="AS615" s="110"/>
      <c r="AT615" s="110"/>
      <c r="AU615" s="110"/>
      <c r="AV615" s="110"/>
      <c r="AW615" s="110"/>
      <c r="AX615" s="110"/>
      <c r="AY615" s="110"/>
      <c r="AZ615" s="110"/>
      <c r="BA615" s="110"/>
      <c r="BB615" s="110"/>
      <c r="BC615" s="110"/>
      <c r="BD615" s="110"/>
      <c r="BE615" s="110"/>
      <c r="BF615" s="110"/>
      <c r="BG615" s="110"/>
      <c r="BH615" s="110"/>
      <c r="BI615" s="110"/>
      <c r="BJ615" s="110"/>
      <c r="BK615" s="110"/>
      <c r="BL615" s="110"/>
      <c r="BM615" s="110"/>
      <c r="BN615" s="110"/>
      <c r="BO615" s="110"/>
      <c r="BP615" s="110"/>
      <c r="BQ615" s="110"/>
      <c r="BR615" s="110"/>
      <c r="BS615" s="110"/>
      <c r="BT615" s="110"/>
      <c r="BU615" s="110"/>
      <c r="BV615" s="110"/>
      <c r="BW615" s="110"/>
      <c r="BX615" s="110"/>
      <c r="BY615" s="110"/>
      <c r="BZ615" s="110"/>
      <c r="CA615" s="110"/>
      <c r="CB615" s="110"/>
      <c r="CC615" s="110"/>
    </row>
    <row r="616" spans="1:81" ht="12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  <c r="AS616" s="110"/>
      <c r="AT616" s="110"/>
      <c r="AU616" s="110"/>
      <c r="AV616" s="110"/>
      <c r="AW616" s="110"/>
      <c r="AX616" s="110"/>
      <c r="AY616" s="110"/>
      <c r="AZ616" s="110"/>
      <c r="BA616" s="110"/>
      <c r="BB616" s="110"/>
      <c r="BC616" s="110"/>
      <c r="BD616" s="110"/>
      <c r="BE616" s="110"/>
      <c r="BF616" s="110"/>
      <c r="BG616" s="110"/>
      <c r="BH616" s="110"/>
      <c r="BI616" s="110"/>
      <c r="BJ616" s="110"/>
      <c r="BK616" s="110"/>
      <c r="BL616" s="110"/>
      <c r="BM616" s="110"/>
      <c r="BN616" s="110"/>
      <c r="BO616" s="110"/>
      <c r="BP616" s="110"/>
      <c r="BQ616" s="110"/>
      <c r="BR616" s="110"/>
      <c r="BS616" s="110"/>
      <c r="BT616" s="110"/>
      <c r="BU616" s="110"/>
      <c r="BV616" s="110"/>
      <c r="BW616" s="110"/>
      <c r="BX616" s="110"/>
      <c r="BY616" s="110"/>
      <c r="BZ616" s="110"/>
      <c r="CA616" s="110"/>
      <c r="CB616" s="110"/>
      <c r="CC616" s="110"/>
    </row>
    <row r="617" spans="1:81" ht="12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  <c r="AS617" s="110"/>
      <c r="AT617" s="110"/>
      <c r="AU617" s="110"/>
      <c r="AV617" s="110"/>
      <c r="AW617" s="110"/>
      <c r="AX617" s="110"/>
      <c r="AY617" s="110"/>
      <c r="AZ617" s="110"/>
      <c r="BA617" s="110"/>
      <c r="BB617" s="110"/>
      <c r="BC617" s="110"/>
      <c r="BD617" s="110"/>
      <c r="BE617" s="110"/>
      <c r="BF617" s="110"/>
      <c r="BG617" s="110"/>
      <c r="BH617" s="110"/>
      <c r="BI617" s="110"/>
      <c r="BJ617" s="110"/>
      <c r="BK617" s="110"/>
      <c r="BL617" s="110"/>
      <c r="BM617" s="110"/>
      <c r="BN617" s="110"/>
      <c r="BO617" s="110"/>
      <c r="BP617" s="110"/>
      <c r="BQ617" s="110"/>
      <c r="BR617" s="110"/>
      <c r="BS617" s="110"/>
      <c r="BT617" s="110"/>
      <c r="BU617" s="110"/>
      <c r="BV617" s="110"/>
      <c r="BW617" s="110"/>
      <c r="BX617" s="110"/>
      <c r="BY617" s="110"/>
      <c r="BZ617" s="110"/>
      <c r="CA617" s="110"/>
      <c r="CB617" s="110"/>
      <c r="CC617" s="110"/>
    </row>
    <row r="618" spans="1:81" ht="12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  <c r="AS618" s="110"/>
      <c r="AT618" s="110"/>
      <c r="AU618" s="110"/>
      <c r="AV618" s="110"/>
      <c r="AW618" s="110"/>
      <c r="AX618" s="110"/>
      <c r="AY618" s="110"/>
      <c r="AZ618" s="110"/>
      <c r="BA618" s="110"/>
      <c r="BB618" s="110"/>
      <c r="BC618" s="110"/>
      <c r="BD618" s="110"/>
      <c r="BE618" s="110"/>
      <c r="BF618" s="110"/>
      <c r="BG618" s="110"/>
      <c r="BH618" s="110"/>
      <c r="BI618" s="110"/>
      <c r="BJ618" s="110"/>
      <c r="BK618" s="110"/>
      <c r="BL618" s="110"/>
      <c r="BM618" s="110"/>
      <c r="BN618" s="110"/>
      <c r="BO618" s="110"/>
      <c r="BP618" s="110"/>
      <c r="BQ618" s="110"/>
      <c r="BR618" s="110"/>
      <c r="BS618" s="110"/>
      <c r="BT618" s="110"/>
      <c r="BU618" s="110"/>
      <c r="BV618" s="110"/>
      <c r="BW618" s="110"/>
      <c r="BX618" s="110"/>
      <c r="BY618" s="110"/>
      <c r="BZ618" s="110"/>
      <c r="CA618" s="110"/>
      <c r="CB618" s="110"/>
      <c r="CC618" s="110"/>
    </row>
    <row r="619" spans="1:81" ht="12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  <c r="AS619" s="110"/>
      <c r="AT619" s="110"/>
      <c r="AU619" s="110"/>
      <c r="AV619" s="110"/>
      <c r="AW619" s="110"/>
      <c r="AX619" s="110"/>
      <c r="AY619" s="110"/>
      <c r="AZ619" s="110"/>
      <c r="BA619" s="110"/>
      <c r="BB619" s="110"/>
      <c r="BC619" s="110"/>
      <c r="BD619" s="110"/>
      <c r="BE619" s="110"/>
      <c r="BF619" s="110"/>
      <c r="BG619" s="110"/>
      <c r="BH619" s="110"/>
      <c r="BI619" s="110"/>
      <c r="BJ619" s="110"/>
      <c r="BK619" s="110"/>
      <c r="BL619" s="110"/>
      <c r="BM619" s="110"/>
      <c r="BN619" s="110"/>
      <c r="BO619" s="110"/>
      <c r="BP619" s="110"/>
      <c r="BQ619" s="110"/>
      <c r="BR619" s="110"/>
      <c r="BS619" s="110"/>
      <c r="BT619" s="110"/>
      <c r="BU619" s="110"/>
      <c r="BV619" s="110"/>
      <c r="BW619" s="110"/>
      <c r="BX619" s="110"/>
      <c r="BY619" s="110"/>
      <c r="BZ619" s="110"/>
      <c r="CA619" s="110"/>
      <c r="CB619" s="110"/>
      <c r="CC619" s="110"/>
    </row>
    <row r="620" spans="1:81" ht="12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  <c r="AS620" s="110"/>
      <c r="AT620" s="110"/>
      <c r="AU620" s="110"/>
      <c r="AV620" s="110"/>
      <c r="AW620" s="110"/>
      <c r="AX620" s="110"/>
      <c r="AY620" s="110"/>
      <c r="AZ620" s="110"/>
      <c r="BA620" s="110"/>
      <c r="BB620" s="110"/>
      <c r="BC620" s="110"/>
      <c r="BD620" s="110"/>
      <c r="BE620" s="110"/>
      <c r="BF620" s="110"/>
      <c r="BG620" s="110"/>
      <c r="BH620" s="110"/>
      <c r="BI620" s="110"/>
      <c r="BJ620" s="110"/>
      <c r="BK620" s="110"/>
      <c r="BL620" s="110"/>
      <c r="BM620" s="110"/>
      <c r="BN620" s="110"/>
      <c r="BO620" s="110"/>
      <c r="BP620" s="110"/>
      <c r="BQ620" s="110"/>
      <c r="BR620" s="110"/>
      <c r="BS620" s="110"/>
      <c r="BT620" s="110"/>
      <c r="BU620" s="110"/>
      <c r="BV620" s="110"/>
      <c r="BW620" s="110"/>
      <c r="BX620" s="110"/>
      <c r="BY620" s="110"/>
      <c r="BZ620" s="110"/>
      <c r="CA620" s="110"/>
      <c r="CB620" s="110"/>
      <c r="CC620" s="110"/>
    </row>
    <row r="621" spans="1:81" ht="12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  <c r="AS621" s="110"/>
      <c r="AT621" s="110"/>
      <c r="AU621" s="110"/>
      <c r="AV621" s="110"/>
      <c r="AW621" s="110"/>
      <c r="AX621" s="110"/>
      <c r="AY621" s="110"/>
      <c r="AZ621" s="110"/>
      <c r="BA621" s="110"/>
      <c r="BB621" s="110"/>
      <c r="BC621" s="110"/>
      <c r="BD621" s="110"/>
      <c r="BE621" s="110"/>
      <c r="BF621" s="110"/>
      <c r="BG621" s="110"/>
      <c r="BH621" s="110"/>
      <c r="BI621" s="110"/>
      <c r="BJ621" s="110"/>
      <c r="BK621" s="110"/>
      <c r="BL621" s="110"/>
      <c r="BM621" s="110"/>
      <c r="BN621" s="110"/>
      <c r="BO621" s="110"/>
      <c r="BP621" s="110"/>
      <c r="BQ621" s="110"/>
      <c r="BR621" s="110"/>
      <c r="BS621" s="110"/>
      <c r="BT621" s="110"/>
      <c r="BU621" s="110"/>
      <c r="BV621" s="110"/>
      <c r="BW621" s="110"/>
      <c r="BX621" s="110"/>
      <c r="BY621" s="110"/>
      <c r="BZ621" s="110"/>
      <c r="CA621" s="110"/>
      <c r="CB621" s="110"/>
      <c r="CC621" s="110"/>
    </row>
    <row r="622" spans="1:81" ht="12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  <c r="AU622" s="110"/>
      <c r="AV622" s="110"/>
      <c r="AW622" s="110"/>
      <c r="AX622" s="110"/>
      <c r="AY622" s="110"/>
      <c r="AZ622" s="110"/>
      <c r="BA622" s="110"/>
      <c r="BB622" s="110"/>
      <c r="BC622" s="110"/>
      <c r="BD622" s="110"/>
      <c r="BE622" s="110"/>
      <c r="BF622" s="110"/>
      <c r="BG622" s="110"/>
      <c r="BH622" s="110"/>
      <c r="BI622" s="110"/>
      <c r="BJ622" s="110"/>
      <c r="BK622" s="110"/>
      <c r="BL622" s="110"/>
      <c r="BM622" s="110"/>
      <c r="BN622" s="110"/>
      <c r="BO622" s="110"/>
      <c r="BP622" s="110"/>
      <c r="BQ622" s="110"/>
      <c r="BR622" s="110"/>
      <c r="BS622" s="110"/>
      <c r="BT622" s="110"/>
      <c r="BU622" s="110"/>
      <c r="BV622" s="110"/>
      <c r="BW622" s="110"/>
      <c r="BX622" s="110"/>
      <c r="BY622" s="110"/>
      <c r="BZ622" s="110"/>
      <c r="CA622" s="110"/>
      <c r="CB622" s="110"/>
      <c r="CC622" s="110"/>
    </row>
    <row r="623" spans="1:81" ht="12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  <c r="AU623" s="110"/>
      <c r="AV623" s="110"/>
      <c r="AW623" s="110"/>
      <c r="AX623" s="110"/>
      <c r="AY623" s="110"/>
      <c r="AZ623" s="110"/>
      <c r="BA623" s="110"/>
      <c r="BB623" s="110"/>
      <c r="BC623" s="110"/>
      <c r="BD623" s="110"/>
      <c r="BE623" s="110"/>
      <c r="BF623" s="110"/>
      <c r="BG623" s="110"/>
      <c r="BH623" s="110"/>
      <c r="BI623" s="110"/>
      <c r="BJ623" s="110"/>
      <c r="BK623" s="110"/>
      <c r="BL623" s="110"/>
      <c r="BM623" s="110"/>
      <c r="BN623" s="110"/>
      <c r="BO623" s="110"/>
      <c r="BP623" s="110"/>
      <c r="BQ623" s="110"/>
      <c r="BR623" s="110"/>
      <c r="BS623" s="110"/>
      <c r="BT623" s="110"/>
      <c r="BU623" s="110"/>
      <c r="BV623" s="110"/>
      <c r="BW623" s="110"/>
      <c r="BX623" s="110"/>
      <c r="BY623" s="110"/>
      <c r="BZ623" s="110"/>
      <c r="CA623" s="110"/>
      <c r="CB623" s="110"/>
      <c r="CC623" s="110"/>
    </row>
    <row r="624" spans="1:81" ht="12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  <c r="AU624" s="110"/>
      <c r="AV624" s="110"/>
      <c r="AW624" s="110"/>
      <c r="AX624" s="110"/>
      <c r="AY624" s="110"/>
      <c r="AZ624" s="110"/>
      <c r="BA624" s="110"/>
      <c r="BB624" s="110"/>
      <c r="BC624" s="110"/>
      <c r="BD624" s="110"/>
      <c r="BE624" s="110"/>
      <c r="BF624" s="110"/>
      <c r="BG624" s="110"/>
      <c r="BH624" s="110"/>
      <c r="BI624" s="110"/>
      <c r="BJ624" s="110"/>
      <c r="BK624" s="110"/>
      <c r="BL624" s="110"/>
      <c r="BM624" s="110"/>
      <c r="BN624" s="110"/>
      <c r="BO624" s="110"/>
      <c r="BP624" s="110"/>
      <c r="BQ624" s="110"/>
      <c r="BR624" s="110"/>
      <c r="BS624" s="110"/>
      <c r="BT624" s="110"/>
      <c r="BU624" s="110"/>
      <c r="BV624" s="110"/>
      <c r="BW624" s="110"/>
      <c r="BX624" s="110"/>
      <c r="BY624" s="110"/>
      <c r="BZ624" s="110"/>
      <c r="CA624" s="110"/>
      <c r="CB624" s="110"/>
      <c r="CC624" s="110"/>
    </row>
    <row r="625" spans="1:81" ht="12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  <c r="AS625" s="110"/>
      <c r="AT625" s="110"/>
      <c r="AU625" s="110"/>
      <c r="AV625" s="110"/>
      <c r="AW625" s="110"/>
      <c r="AX625" s="110"/>
      <c r="AY625" s="110"/>
      <c r="AZ625" s="110"/>
      <c r="BA625" s="110"/>
      <c r="BB625" s="110"/>
      <c r="BC625" s="110"/>
      <c r="BD625" s="110"/>
      <c r="BE625" s="110"/>
      <c r="BF625" s="110"/>
      <c r="BG625" s="110"/>
      <c r="BH625" s="110"/>
      <c r="BI625" s="110"/>
      <c r="BJ625" s="110"/>
      <c r="BK625" s="110"/>
      <c r="BL625" s="110"/>
      <c r="BM625" s="110"/>
      <c r="BN625" s="110"/>
      <c r="BO625" s="110"/>
      <c r="BP625" s="110"/>
      <c r="BQ625" s="110"/>
      <c r="BR625" s="110"/>
      <c r="BS625" s="110"/>
      <c r="BT625" s="110"/>
      <c r="BU625" s="110"/>
      <c r="BV625" s="110"/>
      <c r="BW625" s="110"/>
      <c r="BX625" s="110"/>
      <c r="BY625" s="110"/>
      <c r="BZ625" s="110"/>
      <c r="CA625" s="110"/>
      <c r="CB625" s="110"/>
      <c r="CC625" s="110"/>
    </row>
    <row r="626" spans="1:81" ht="12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  <c r="AS626" s="110"/>
      <c r="AT626" s="110"/>
      <c r="AU626" s="110"/>
      <c r="AV626" s="110"/>
      <c r="AW626" s="110"/>
      <c r="AX626" s="110"/>
      <c r="AY626" s="110"/>
      <c r="AZ626" s="110"/>
      <c r="BA626" s="110"/>
      <c r="BB626" s="110"/>
      <c r="BC626" s="110"/>
      <c r="BD626" s="110"/>
      <c r="BE626" s="110"/>
      <c r="BF626" s="110"/>
      <c r="BG626" s="110"/>
      <c r="BH626" s="110"/>
      <c r="BI626" s="110"/>
      <c r="BJ626" s="110"/>
      <c r="BK626" s="110"/>
      <c r="BL626" s="110"/>
      <c r="BM626" s="110"/>
      <c r="BN626" s="110"/>
      <c r="BO626" s="110"/>
      <c r="BP626" s="110"/>
      <c r="BQ626" s="110"/>
      <c r="BR626" s="110"/>
      <c r="BS626" s="110"/>
      <c r="BT626" s="110"/>
      <c r="BU626" s="110"/>
      <c r="BV626" s="110"/>
      <c r="BW626" s="110"/>
      <c r="BX626" s="110"/>
      <c r="BY626" s="110"/>
      <c r="BZ626" s="110"/>
      <c r="CA626" s="110"/>
      <c r="CB626" s="110"/>
      <c r="CC626" s="110"/>
    </row>
    <row r="627" spans="1:81" ht="12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  <c r="AS627" s="110"/>
      <c r="AT627" s="110"/>
      <c r="AU627" s="110"/>
      <c r="AV627" s="110"/>
      <c r="AW627" s="110"/>
      <c r="AX627" s="110"/>
      <c r="AY627" s="110"/>
      <c r="AZ627" s="110"/>
      <c r="BA627" s="110"/>
      <c r="BB627" s="110"/>
      <c r="BC627" s="110"/>
      <c r="BD627" s="110"/>
      <c r="BE627" s="110"/>
      <c r="BF627" s="110"/>
      <c r="BG627" s="110"/>
      <c r="BH627" s="110"/>
      <c r="BI627" s="110"/>
      <c r="BJ627" s="110"/>
      <c r="BK627" s="110"/>
      <c r="BL627" s="110"/>
      <c r="BM627" s="110"/>
      <c r="BN627" s="110"/>
      <c r="BO627" s="110"/>
      <c r="BP627" s="110"/>
      <c r="BQ627" s="110"/>
      <c r="BR627" s="110"/>
      <c r="BS627" s="110"/>
      <c r="BT627" s="110"/>
      <c r="BU627" s="110"/>
      <c r="BV627" s="110"/>
      <c r="BW627" s="110"/>
      <c r="BX627" s="110"/>
      <c r="BY627" s="110"/>
      <c r="BZ627" s="110"/>
      <c r="CA627" s="110"/>
      <c r="CB627" s="110"/>
      <c r="CC627" s="110"/>
    </row>
    <row r="628" spans="1:81" ht="12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  <c r="AS628" s="110"/>
      <c r="AT628" s="110"/>
      <c r="AU628" s="110"/>
      <c r="AV628" s="110"/>
      <c r="AW628" s="110"/>
      <c r="AX628" s="110"/>
      <c r="AY628" s="110"/>
      <c r="AZ628" s="110"/>
      <c r="BA628" s="110"/>
      <c r="BB628" s="110"/>
      <c r="BC628" s="110"/>
      <c r="BD628" s="110"/>
      <c r="BE628" s="110"/>
      <c r="BF628" s="110"/>
      <c r="BG628" s="110"/>
      <c r="BH628" s="110"/>
      <c r="BI628" s="110"/>
      <c r="BJ628" s="110"/>
      <c r="BK628" s="110"/>
      <c r="BL628" s="110"/>
      <c r="BM628" s="110"/>
      <c r="BN628" s="110"/>
      <c r="BO628" s="110"/>
      <c r="BP628" s="110"/>
      <c r="BQ628" s="110"/>
      <c r="BR628" s="110"/>
      <c r="BS628" s="110"/>
      <c r="BT628" s="110"/>
      <c r="BU628" s="110"/>
      <c r="BV628" s="110"/>
      <c r="BW628" s="110"/>
      <c r="BX628" s="110"/>
      <c r="BY628" s="110"/>
      <c r="BZ628" s="110"/>
      <c r="CA628" s="110"/>
      <c r="CB628" s="110"/>
      <c r="CC628" s="110"/>
    </row>
    <row r="629" spans="1:81" ht="12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  <c r="AS629" s="110"/>
      <c r="AT629" s="110"/>
      <c r="AU629" s="110"/>
      <c r="AV629" s="110"/>
      <c r="AW629" s="110"/>
      <c r="AX629" s="110"/>
      <c r="AY629" s="110"/>
      <c r="AZ629" s="110"/>
      <c r="BA629" s="110"/>
      <c r="BB629" s="110"/>
      <c r="BC629" s="110"/>
      <c r="BD629" s="110"/>
      <c r="BE629" s="110"/>
      <c r="BF629" s="110"/>
      <c r="BG629" s="110"/>
      <c r="BH629" s="110"/>
      <c r="BI629" s="110"/>
      <c r="BJ629" s="110"/>
      <c r="BK629" s="110"/>
      <c r="BL629" s="110"/>
      <c r="BM629" s="110"/>
      <c r="BN629" s="110"/>
      <c r="BO629" s="110"/>
      <c r="BP629" s="110"/>
      <c r="BQ629" s="110"/>
      <c r="BR629" s="110"/>
      <c r="BS629" s="110"/>
      <c r="BT629" s="110"/>
      <c r="BU629" s="110"/>
      <c r="BV629" s="110"/>
      <c r="BW629" s="110"/>
      <c r="BX629" s="110"/>
      <c r="BY629" s="110"/>
      <c r="BZ629" s="110"/>
      <c r="CA629" s="110"/>
      <c r="CB629" s="110"/>
      <c r="CC629" s="110"/>
    </row>
    <row r="630" spans="1:81" ht="12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  <c r="AS630" s="110"/>
      <c r="AT630" s="110"/>
      <c r="AU630" s="110"/>
      <c r="AV630" s="110"/>
      <c r="AW630" s="110"/>
      <c r="AX630" s="110"/>
      <c r="AY630" s="110"/>
      <c r="AZ630" s="110"/>
      <c r="BA630" s="110"/>
      <c r="BB630" s="110"/>
      <c r="BC630" s="110"/>
      <c r="BD630" s="110"/>
      <c r="BE630" s="110"/>
      <c r="BF630" s="110"/>
      <c r="BG630" s="110"/>
      <c r="BH630" s="110"/>
      <c r="BI630" s="110"/>
      <c r="BJ630" s="110"/>
      <c r="BK630" s="110"/>
      <c r="BL630" s="110"/>
      <c r="BM630" s="110"/>
      <c r="BN630" s="110"/>
      <c r="BO630" s="110"/>
      <c r="BP630" s="110"/>
      <c r="BQ630" s="110"/>
      <c r="BR630" s="110"/>
      <c r="BS630" s="110"/>
      <c r="BT630" s="110"/>
      <c r="BU630" s="110"/>
      <c r="BV630" s="110"/>
      <c r="BW630" s="110"/>
      <c r="BX630" s="110"/>
      <c r="BY630" s="110"/>
      <c r="BZ630" s="110"/>
      <c r="CA630" s="110"/>
      <c r="CB630" s="110"/>
      <c r="CC630" s="110"/>
    </row>
    <row r="631" spans="1:81" ht="12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  <c r="AS631" s="110"/>
      <c r="AT631" s="110"/>
      <c r="AU631" s="110"/>
      <c r="AV631" s="110"/>
      <c r="AW631" s="110"/>
      <c r="AX631" s="110"/>
      <c r="AY631" s="110"/>
      <c r="AZ631" s="110"/>
      <c r="BA631" s="110"/>
      <c r="BB631" s="110"/>
      <c r="BC631" s="110"/>
      <c r="BD631" s="110"/>
      <c r="BE631" s="110"/>
      <c r="BF631" s="110"/>
      <c r="BG631" s="110"/>
      <c r="BH631" s="110"/>
      <c r="BI631" s="110"/>
      <c r="BJ631" s="110"/>
      <c r="BK631" s="110"/>
      <c r="BL631" s="110"/>
      <c r="BM631" s="110"/>
      <c r="BN631" s="110"/>
      <c r="BO631" s="110"/>
      <c r="BP631" s="110"/>
      <c r="BQ631" s="110"/>
      <c r="BR631" s="110"/>
      <c r="BS631" s="110"/>
      <c r="BT631" s="110"/>
      <c r="BU631" s="110"/>
      <c r="BV631" s="110"/>
      <c r="BW631" s="110"/>
      <c r="BX631" s="110"/>
      <c r="BY631" s="110"/>
      <c r="BZ631" s="110"/>
      <c r="CA631" s="110"/>
      <c r="CB631" s="110"/>
      <c r="CC631" s="110"/>
    </row>
    <row r="632" spans="1:81" ht="12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  <c r="AS632" s="110"/>
      <c r="AT632" s="110"/>
      <c r="AU632" s="110"/>
      <c r="AV632" s="110"/>
      <c r="AW632" s="110"/>
      <c r="AX632" s="110"/>
      <c r="AY632" s="110"/>
      <c r="AZ632" s="110"/>
      <c r="BA632" s="110"/>
      <c r="BB632" s="110"/>
      <c r="BC632" s="110"/>
      <c r="BD632" s="110"/>
      <c r="BE632" s="110"/>
      <c r="BF632" s="110"/>
      <c r="BG632" s="110"/>
      <c r="BH632" s="110"/>
      <c r="BI632" s="110"/>
      <c r="BJ632" s="110"/>
      <c r="BK632" s="110"/>
      <c r="BL632" s="110"/>
      <c r="BM632" s="110"/>
      <c r="BN632" s="110"/>
      <c r="BO632" s="110"/>
      <c r="BP632" s="110"/>
      <c r="BQ632" s="110"/>
      <c r="BR632" s="110"/>
      <c r="BS632" s="110"/>
      <c r="BT632" s="110"/>
      <c r="BU632" s="110"/>
      <c r="BV632" s="110"/>
      <c r="BW632" s="110"/>
      <c r="BX632" s="110"/>
      <c r="BY632" s="110"/>
      <c r="BZ632" s="110"/>
      <c r="CA632" s="110"/>
      <c r="CB632" s="110"/>
      <c r="CC632" s="110"/>
    </row>
    <row r="633" spans="1:81" ht="12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  <c r="AS633" s="110"/>
      <c r="AT633" s="110"/>
      <c r="AU633" s="110"/>
      <c r="AV633" s="110"/>
      <c r="AW633" s="110"/>
      <c r="AX633" s="110"/>
      <c r="AY633" s="110"/>
      <c r="AZ633" s="110"/>
      <c r="BA633" s="110"/>
      <c r="BB633" s="110"/>
      <c r="BC633" s="110"/>
      <c r="BD633" s="110"/>
      <c r="BE633" s="110"/>
      <c r="BF633" s="110"/>
      <c r="BG633" s="110"/>
      <c r="BH633" s="110"/>
      <c r="BI633" s="110"/>
      <c r="BJ633" s="110"/>
      <c r="BK633" s="110"/>
      <c r="BL633" s="110"/>
      <c r="BM633" s="110"/>
      <c r="BN633" s="110"/>
      <c r="BO633" s="110"/>
      <c r="BP633" s="110"/>
      <c r="BQ633" s="110"/>
      <c r="BR633" s="110"/>
      <c r="BS633" s="110"/>
      <c r="BT633" s="110"/>
      <c r="BU633" s="110"/>
      <c r="BV633" s="110"/>
      <c r="BW633" s="110"/>
      <c r="BX633" s="110"/>
      <c r="BY633" s="110"/>
      <c r="BZ633" s="110"/>
      <c r="CA633" s="110"/>
      <c r="CB633" s="110"/>
      <c r="CC633" s="110"/>
    </row>
    <row r="634" spans="1:81" ht="12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  <c r="AS634" s="110"/>
      <c r="AT634" s="110"/>
      <c r="AU634" s="110"/>
      <c r="AV634" s="110"/>
      <c r="AW634" s="110"/>
      <c r="AX634" s="110"/>
      <c r="AY634" s="110"/>
      <c r="AZ634" s="110"/>
      <c r="BA634" s="110"/>
      <c r="BB634" s="110"/>
      <c r="BC634" s="110"/>
      <c r="BD634" s="110"/>
      <c r="BE634" s="110"/>
      <c r="BF634" s="110"/>
      <c r="BG634" s="110"/>
      <c r="BH634" s="110"/>
      <c r="BI634" s="110"/>
      <c r="BJ634" s="110"/>
      <c r="BK634" s="110"/>
      <c r="BL634" s="110"/>
      <c r="BM634" s="110"/>
      <c r="BN634" s="110"/>
      <c r="BO634" s="110"/>
      <c r="BP634" s="110"/>
      <c r="BQ634" s="110"/>
      <c r="BR634" s="110"/>
      <c r="BS634" s="110"/>
      <c r="BT634" s="110"/>
      <c r="BU634" s="110"/>
      <c r="BV634" s="110"/>
      <c r="BW634" s="110"/>
      <c r="BX634" s="110"/>
      <c r="BY634" s="110"/>
      <c r="BZ634" s="110"/>
      <c r="CA634" s="110"/>
      <c r="CB634" s="110"/>
      <c r="CC634" s="110"/>
    </row>
    <row r="635" spans="1:81" ht="12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  <c r="AS635" s="110"/>
      <c r="AT635" s="110"/>
      <c r="AU635" s="110"/>
      <c r="AV635" s="110"/>
      <c r="AW635" s="110"/>
      <c r="AX635" s="110"/>
      <c r="AY635" s="110"/>
      <c r="AZ635" s="110"/>
      <c r="BA635" s="110"/>
      <c r="BB635" s="110"/>
      <c r="BC635" s="110"/>
      <c r="BD635" s="110"/>
      <c r="BE635" s="110"/>
      <c r="BF635" s="110"/>
      <c r="BG635" s="110"/>
      <c r="BH635" s="110"/>
      <c r="BI635" s="110"/>
      <c r="BJ635" s="110"/>
      <c r="BK635" s="110"/>
      <c r="BL635" s="110"/>
      <c r="BM635" s="110"/>
      <c r="BN635" s="110"/>
      <c r="BO635" s="110"/>
      <c r="BP635" s="110"/>
      <c r="BQ635" s="110"/>
      <c r="BR635" s="110"/>
      <c r="BS635" s="110"/>
      <c r="BT635" s="110"/>
      <c r="BU635" s="110"/>
      <c r="BV635" s="110"/>
      <c r="BW635" s="110"/>
      <c r="BX635" s="110"/>
      <c r="BY635" s="110"/>
      <c r="BZ635" s="110"/>
      <c r="CA635" s="110"/>
      <c r="CB635" s="110"/>
      <c r="CC635" s="110"/>
    </row>
    <row r="636" spans="1:81" ht="12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  <c r="AS636" s="110"/>
      <c r="AT636" s="110"/>
      <c r="AU636" s="110"/>
      <c r="AV636" s="110"/>
      <c r="AW636" s="110"/>
      <c r="AX636" s="110"/>
      <c r="AY636" s="110"/>
      <c r="AZ636" s="110"/>
      <c r="BA636" s="110"/>
      <c r="BB636" s="110"/>
      <c r="BC636" s="110"/>
      <c r="BD636" s="110"/>
      <c r="BE636" s="110"/>
      <c r="BF636" s="110"/>
      <c r="BG636" s="110"/>
      <c r="BH636" s="110"/>
      <c r="BI636" s="110"/>
      <c r="BJ636" s="110"/>
      <c r="BK636" s="110"/>
      <c r="BL636" s="110"/>
      <c r="BM636" s="110"/>
      <c r="BN636" s="110"/>
      <c r="BO636" s="110"/>
      <c r="BP636" s="110"/>
      <c r="BQ636" s="110"/>
      <c r="BR636" s="110"/>
      <c r="BS636" s="110"/>
      <c r="BT636" s="110"/>
      <c r="BU636" s="110"/>
      <c r="BV636" s="110"/>
      <c r="BW636" s="110"/>
      <c r="BX636" s="110"/>
      <c r="BY636" s="110"/>
      <c r="BZ636" s="110"/>
      <c r="CA636" s="110"/>
      <c r="CB636" s="110"/>
      <c r="CC636" s="110"/>
    </row>
    <row r="637" spans="1:81" ht="12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  <c r="AS637" s="110"/>
      <c r="AT637" s="110"/>
      <c r="AU637" s="110"/>
      <c r="AV637" s="110"/>
      <c r="AW637" s="110"/>
      <c r="AX637" s="110"/>
      <c r="AY637" s="110"/>
      <c r="AZ637" s="110"/>
      <c r="BA637" s="110"/>
      <c r="BB637" s="110"/>
      <c r="BC637" s="110"/>
      <c r="BD637" s="110"/>
      <c r="BE637" s="110"/>
      <c r="BF637" s="110"/>
      <c r="BG637" s="110"/>
      <c r="BH637" s="110"/>
      <c r="BI637" s="110"/>
      <c r="BJ637" s="110"/>
      <c r="BK637" s="110"/>
      <c r="BL637" s="110"/>
      <c r="BM637" s="110"/>
      <c r="BN637" s="110"/>
      <c r="BO637" s="110"/>
      <c r="BP637" s="110"/>
      <c r="BQ637" s="110"/>
      <c r="BR637" s="110"/>
      <c r="BS637" s="110"/>
      <c r="BT637" s="110"/>
      <c r="BU637" s="110"/>
      <c r="BV637" s="110"/>
      <c r="BW637" s="110"/>
      <c r="BX637" s="110"/>
      <c r="BY637" s="110"/>
      <c r="BZ637" s="110"/>
      <c r="CA637" s="110"/>
      <c r="CB637" s="110"/>
      <c r="CC637" s="110"/>
    </row>
    <row r="638" spans="1:81" ht="12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  <c r="AS638" s="110"/>
      <c r="AT638" s="110"/>
      <c r="AU638" s="110"/>
      <c r="AV638" s="110"/>
      <c r="AW638" s="110"/>
      <c r="AX638" s="110"/>
      <c r="AY638" s="110"/>
      <c r="AZ638" s="110"/>
      <c r="BA638" s="110"/>
      <c r="BB638" s="110"/>
      <c r="BC638" s="110"/>
      <c r="BD638" s="110"/>
      <c r="BE638" s="110"/>
      <c r="BF638" s="110"/>
      <c r="BG638" s="110"/>
      <c r="BH638" s="110"/>
      <c r="BI638" s="110"/>
      <c r="BJ638" s="110"/>
      <c r="BK638" s="110"/>
      <c r="BL638" s="110"/>
      <c r="BM638" s="110"/>
      <c r="BN638" s="110"/>
      <c r="BO638" s="110"/>
      <c r="BP638" s="110"/>
      <c r="BQ638" s="110"/>
      <c r="BR638" s="110"/>
      <c r="BS638" s="110"/>
      <c r="BT638" s="110"/>
      <c r="BU638" s="110"/>
      <c r="BV638" s="110"/>
      <c r="BW638" s="110"/>
      <c r="BX638" s="110"/>
      <c r="BY638" s="110"/>
      <c r="BZ638" s="110"/>
      <c r="CA638" s="110"/>
      <c r="CB638" s="110"/>
      <c r="CC638" s="110"/>
    </row>
    <row r="639" spans="1:81" ht="12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  <c r="AS639" s="110"/>
      <c r="AT639" s="110"/>
      <c r="AU639" s="110"/>
      <c r="AV639" s="110"/>
      <c r="AW639" s="110"/>
      <c r="AX639" s="110"/>
      <c r="AY639" s="110"/>
      <c r="AZ639" s="110"/>
      <c r="BA639" s="110"/>
      <c r="BB639" s="110"/>
      <c r="BC639" s="110"/>
      <c r="BD639" s="110"/>
      <c r="BE639" s="110"/>
      <c r="BF639" s="110"/>
      <c r="BG639" s="110"/>
      <c r="BH639" s="110"/>
      <c r="BI639" s="110"/>
      <c r="BJ639" s="110"/>
      <c r="BK639" s="110"/>
      <c r="BL639" s="110"/>
      <c r="BM639" s="110"/>
      <c r="BN639" s="110"/>
      <c r="BO639" s="110"/>
      <c r="BP639" s="110"/>
      <c r="BQ639" s="110"/>
      <c r="BR639" s="110"/>
      <c r="BS639" s="110"/>
      <c r="BT639" s="110"/>
      <c r="BU639" s="110"/>
      <c r="BV639" s="110"/>
      <c r="BW639" s="110"/>
      <c r="BX639" s="110"/>
      <c r="BY639" s="110"/>
      <c r="BZ639" s="110"/>
      <c r="CA639" s="110"/>
      <c r="CB639" s="110"/>
      <c r="CC639" s="110"/>
    </row>
    <row r="640" spans="1:81" ht="12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  <c r="AU640" s="110"/>
      <c r="AV640" s="110"/>
      <c r="AW640" s="110"/>
      <c r="AX640" s="110"/>
      <c r="AY640" s="110"/>
      <c r="AZ640" s="110"/>
      <c r="BA640" s="110"/>
      <c r="BB640" s="110"/>
      <c r="BC640" s="110"/>
      <c r="BD640" s="110"/>
      <c r="BE640" s="110"/>
      <c r="BF640" s="110"/>
      <c r="BG640" s="110"/>
      <c r="BH640" s="110"/>
      <c r="BI640" s="110"/>
      <c r="BJ640" s="110"/>
      <c r="BK640" s="110"/>
      <c r="BL640" s="110"/>
      <c r="BM640" s="110"/>
      <c r="BN640" s="110"/>
      <c r="BO640" s="110"/>
      <c r="BP640" s="110"/>
      <c r="BQ640" s="110"/>
      <c r="BR640" s="110"/>
      <c r="BS640" s="110"/>
      <c r="BT640" s="110"/>
      <c r="BU640" s="110"/>
      <c r="BV640" s="110"/>
      <c r="BW640" s="110"/>
      <c r="BX640" s="110"/>
      <c r="BY640" s="110"/>
      <c r="BZ640" s="110"/>
      <c r="CA640" s="110"/>
      <c r="CB640" s="110"/>
      <c r="CC640" s="110"/>
    </row>
    <row r="641" spans="1:81" ht="12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  <c r="AU641" s="110"/>
      <c r="AV641" s="110"/>
      <c r="AW641" s="110"/>
      <c r="AX641" s="110"/>
      <c r="AY641" s="110"/>
      <c r="AZ641" s="110"/>
      <c r="BA641" s="110"/>
      <c r="BB641" s="110"/>
      <c r="BC641" s="110"/>
      <c r="BD641" s="110"/>
      <c r="BE641" s="110"/>
      <c r="BF641" s="110"/>
      <c r="BG641" s="110"/>
      <c r="BH641" s="110"/>
      <c r="BI641" s="110"/>
      <c r="BJ641" s="110"/>
      <c r="BK641" s="110"/>
      <c r="BL641" s="110"/>
      <c r="BM641" s="110"/>
      <c r="BN641" s="110"/>
      <c r="BO641" s="110"/>
      <c r="BP641" s="110"/>
      <c r="BQ641" s="110"/>
      <c r="BR641" s="110"/>
      <c r="BS641" s="110"/>
      <c r="BT641" s="110"/>
      <c r="BU641" s="110"/>
      <c r="BV641" s="110"/>
      <c r="BW641" s="110"/>
      <c r="BX641" s="110"/>
      <c r="BY641" s="110"/>
      <c r="BZ641" s="110"/>
      <c r="CA641" s="110"/>
      <c r="CB641" s="110"/>
      <c r="CC641" s="110"/>
    </row>
    <row r="642" spans="1:81" ht="12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  <c r="AU642" s="110"/>
      <c r="AV642" s="110"/>
      <c r="AW642" s="110"/>
      <c r="AX642" s="110"/>
      <c r="AY642" s="110"/>
      <c r="AZ642" s="110"/>
      <c r="BA642" s="110"/>
      <c r="BB642" s="110"/>
      <c r="BC642" s="110"/>
      <c r="BD642" s="110"/>
      <c r="BE642" s="110"/>
      <c r="BF642" s="110"/>
      <c r="BG642" s="110"/>
      <c r="BH642" s="110"/>
      <c r="BI642" s="110"/>
      <c r="BJ642" s="110"/>
      <c r="BK642" s="110"/>
      <c r="BL642" s="110"/>
      <c r="BM642" s="110"/>
      <c r="BN642" s="110"/>
      <c r="BO642" s="110"/>
      <c r="BP642" s="110"/>
      <c r="BQ642" s="110"/>
      <c r="BR642" s="110"/>
      <c r="BS642" s="110"/>
      <c r="BT642" s="110"/>
      <c r="BU642" s="110"/>
      <c r="BV642" s="110"/>
      <c r="BW642" s="110"/>
      <c r="BX642" s="110"/>
      <c r="BY642" s="110"/>
      <c r="BZ642" s="110"/>
      <c r="CA642" s="110"/>
      <c r="CB642" s="110"/>
      <c r="CC642" s="110"/>
    </row>
    <row r="643" spans="1:81" ht="12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  <c r="AS643" s="110"/>
      <c r="AT643" s="110"/>
      <c r="AU643" s="110"/>
      <c r="AV643" s="110"/>
      <c r="AW643" s="110"/>
      <c r="AX643" s="110"/>
      <c r="AY643" s="110"/>
      <c r="AZ643" s="110"/>
      <c r="BA643" s="110"/>
      <c r="BB643" s="110"/>
      <c r="BC643" s="110"/>
      <c r="BD643" s="110"/>
      <c r="BE643" s="110"/>
      <c r="BF643" s="110"/>
      <c r="BG643" s="110"/>
      <c r="BH643" s="110"/>
      <c r="BI643" s="110"/>
      <c r="BJ643" s="110"/>
      <c r="BK643" s="110"/>
      <c r="BL643" s="110"/>
      <c r="BM643" s="110"/>
      <c r="BN643" s="110"/>
      <c r="BO643" s="110"/>
      <c r="BP643" s="110"/>
      <c r="BQ643" s="110"/>
      <c r="BR643" s="110"/>
      <c r="BS643" s="110"/>
      <c r="BT643" s="110"/>
      <c r="BU643" s="110"/>
      <c r="BV643" s="110"/>
      <c r="BW643" s="110"/>
      <c r="BX643" s="110"/>
      <c r="BY643" s="110"/>
      <c r="BZ643" s="110"/>
      <c r="CA643" s="110"/>
      <c r="CB643" s="110"/>
      <c r="CC643" s="110"/>
    </row>
    <row r="644" spans="1:81" ht="12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  <c r="AS644" s="110"/>
      <c r="AT644" s="110"/>
      <c r="AU644" s="110"/>
      <c r="AV644" s="110"/>
      <c r="AW644" s="110"/>
      <c r="AX644" s="110"/>
      <c r="AY644" s="110"/>
      <c r="AZ644" s="110"/>
      <c r="BA644" s="110"/>
      <c r="BB644" s="110"/>
      <c r="BC644" s="110"/>
      <c r="BD644" s="110"/>
      <c r="BE644" s="110"/>
      <c r="BF644" s="110"/>
      <c r="BG644" s="110"/>
      <c r="BH644" s="110"/>
      <c r="BI644" s="110"/>
      <c r="BJ644" s="110"/>
      <c r="BK644" s="110"/>
      <c r="BL644" s="110"/>
      <c r="BM644" s="110"/>
      <c r="BN644" s="110"/>
      <c r="BO644" s="110"/>
      <c r="BP644" s="110"/>
      <c r="BQ644" s="110"/>
      <c r="BR644" s="110"/>
      <c r="BS644" s="110"/>
      <c r="BT644" s="110"/>
      <c r="BU644" s="110"/>
      <c r="BV644" s="110"/>
      <c r="BW644" s="110"/>
      <c r="BX644" s="110"/>
      <c r="BY644" s="110"/>
      <c r="BZ644" s="110"/>
      <c r="CA644" s="110"/>
      <c r="CB644" s="110"/>
      <c r="CC644" s="110"/>
    </row>
    <row r="645" spans="1:81" ht="12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  <c r="AS645" s="110"/>
      <c r="AT645" s="110"/>
      <c r="AU645" s="110"/>
      <c r="AV645" s="110"/>
      <c r="AW645" s="110"/>
      <c r="AX645" s="110"/>
      <c r="AY645" s="110"/>
      <c r="AZ645" s="110"/>
      <c r="BA645" s="110"/>
      <c r="BB645" s="110"/>
      <c r="BC645" s="110"/>
      <c r="BD645" s="110"/>
      <c r="BE645" s="110"/>
      <c r="BF645" s="110"/>
      <c r="BG645" s="110"/>
      <c r="BH645" s="110"/>
      <c r="BI645" s="110"/>
      <c r="BJ645" s="110"/>
      <c r="BK645" s="110"/>
      <c r="BL645" s="110"/>
      <c r="BM645" s="110"/>
      <c r="BN645" s="110"/>
      <c r="BO645" s="110"/>
      <c r="BP645" s="110"/>
      <c r="BQ645" s="110"/>
      <c r="BR645" s="110"/>
      <c r="BS645" s="110"/>
      <c r="BT645" s="110"/>
      <c r="BU645" s="110"/>
      <c r="BV645" s="110"/>
      <c r="BW645" s="110"/>
      <c r="BX645" s="110"/>
      <c r="BY645" s="110"/>
      <c r="BZ645" s="110"/>
      <c r="CA645" s="110"/>
      <c r="CB645" s="110"/>
      <c r="CC645" s="110"/>
    </row>
    <row r="646" spans="1:81" ht="12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  <c r="AS646" s="110"/>
      <c r="AT646" s="110"/>
      <c r="AU646" s="110"/>
      <c r="AV646" s="110"/>
      <c r="AW646" s="110"/>
      <c r="AX646" s="110"/>
      <c r="AY646" s="110"/>
      <c r="AZ646" s="110"/>
      <c r="BA646" s="110"/>
      <c r="BB646" s="110"/>
      <c r="BC646" s="110"/>
      <c r="BD646" s="110"/>
      <c r="BE646" s="110"/>
      <c r="BF646" s="110"/>
      <c r="BG646" s="110"/>
      <c r="BH646" s="110"/>
      <c r="BI646" s="110"/>
      <c r="BJ646" s="110"/>
      <c r="BK646" s="110"/>
      <c r="BL646" s="110"/>
      <c r="BM646" s="110"/>
      <c r="BN646" s="110"/>
      <c r="BO646" s="110"/>
      <c r="BP646" s="110"/>
      <c r="BQ646" s="110"/>
      <c r="BR646" s="110"/>
      <c r="BS646" s="110"/>
      <c r="BT646" s="110"/>
      <c r="BU646" s="110"/>
      <c r="BV646" s="110"/>
      <c r="BW646" s="110"/>
      <c r="BX646" s="110"/>
      <c r="BY646" s="110"/>
      <c r="BZ646" s="110"/>
      <c r="CA646" s="110"/>
      <c r="CB646" s="110"/>
      <c r="CC646" s="110"/>
    </row>
    <row r="647" spans="1:81" ht="12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  <c r="AS647" s="110"/>
      <c r="AT647" s="110"/>
      <c r="AU647" s="110"/>
      <c r="AV647" s="110"/>
      <c r="AW647" s="110"/>
      <c r="AX647" s="110"/>
      <c r="AY647" s="110"/>
      <c r="AZ647" s="110"/>
      <c r="BA647" s="110"/>
      <c r="BB647" s="110"/>
      <c r="BC647" s="110"/>
      <c r="BD647" s="110"/>
      <c r="BE647" s="110"/>
      <c r="BF647" s="110"/>
      <c r="BG647" s="110"/>
      <c r="BH647" s="110"/>
      <c r="BI647" s="110"/>
      <c r="BJ647" s="110"/>
      <c r="BK647" s="110"/>
      <c r="BL647" s="110"/>
      <c r="BM647" s="110"/>
      <c r="BN647" s="110"/>
      <c r="BO647" s="110"/>
      <c r="BP647" s="110"/>
      <c r="BQ647" s="110"/>
      <c r="BR647" s="110"/>
      <c r="BS647" s="110"/>
      <c r="BT647" s="110"/>
      <c r="BU647" s="110"/>
      <c r="BV647" s="110"/>
      <c r="BW647" s="110"/>
      <c r="BX647" s="110"/>
      <c r="BY647" s="110"/>
      <c r="BZ647" s="110"/>
      <c r="CA647" s="110"/>
      <c r="CB647" s="110"/>
      <c r="CC647" s="110"/>
    </row>
    <row r="648" spans="1:81" ht="12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  <c r="AS648" s="110"/>
      <c r="AT648" s="110"/>
      <c r="AU648" s="110"/>
      <c r="AV648" s="110"/>
      <c r="AW648" s="110"/>
      <c r="AX648" s="110"/>
      <c r="AY648" s="110"/>
      <c r="AZ648" s="110"/>
      <c r="BA648" s="110"/>
      <c r="BB648" s="110"/>
      <c r="BC648" s="110"/>
      <c r="BD648" s="110"/>
      <c r="BE648" s="110"/>
      <c r="BF648" s="110"/>
      <c r="BG648" s="110"/>
      <c r="BH648" s="110"/>
      <c r="BI648" s="110"/>
      <c r="BJ648" s="110"/>
      <c r="BK648" s="110"/>
      <c r="BL648" s="110"/>
      <c r="BM648" s="110"/>
      <c r="BN648" s="110"/>
      <c r="BO648" s="110"/>
      <c r="BP648" s="110"/>
      <c r="BQ648" s="110"/>
      <c r="BR648" s="110"/>
      <c r="BS648" s="110"/>
      <c r="BT648" s="110"/>
      <c r="BU648" s="110"/>
      <c r="BV648" s="110"/>
      <c r="BW648" s="110"/>
      <c r="BX648" s="110"/>
      <c r="BY648" s="110"/>
      <c r="BZ648" s="110"/>
      <c r="CA648" s="110"/>
      <c r="CB648" s="110"/>
      <c r="CC648" s="110"/>
    </row>
    <row r="649" spans="1:81" ht="12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  <c r="AV649" s="110"/>
      <c r="AW649" s="110"/>
      <c r="AX649" s="110"/>
      <c r="AY649" s="110"/>
      <c r="AZ649" s="110"/>
      <c r="BA649" s="110"/>
      <c r="BB649" s="110"/>
      <c r="BC649" s="110"/>
      <c r="BD649" s="110"/>
      <c r="BE649" s="110"/>
      <c r="BF649" s="110"/>
      <c r="BG649" s="110"/>
      <c r="BH649" s="110"/>
      <c r="BI649" s="110"/>
      <c r="BJ649" s="110"/>
      <c r="BK649" s="110"/>
      <c r="BL649" s="110"/>
      <c r="BM649" s="110"/>
      <c r="BN649" s="110"/>
      <c r="BO649" s="110"/>
      <c r="BP649" s="110"/>
      <c r="BQ649" s="110"/>
      <c r="BR649" s="110"/>
      <c r="BS649" s="110"/>
      <c r="BT649" s="110"/>
      <c r="BU649" s="110"/>
      <c r="BV649" s="110"/>
      <c r="BW649" s="110"/>
      <c r="BX649" s="110"/>
      <c r="BY649" s="110"/>
      <c r="BZ649" s="110"/>
      <c r="CA649" s="110"/>
      <c r="CB649" s="110"/>
      <c r="CC649" s="110"/>
    </row>
    <row r="650" spans="1:81" ht="12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  <c r="AS650" s="110"/>
      <c r="AT650" s="110"/>
      <c r="AU650" s="110"/>
      <c r="AV650" s="110"/>
      <c r="AW650" s="110"/>
      <c r="AX650" s="110"/>
      <c r="AY650" s="110"/>
      <c r="AZ650" s="110"/>
      <c r="BA650" s="110"/>
      <c r="BB650" s="110"/>
      <c r="BC650" s="110"/>
      <c r="BD650" s="110"/>
      <c r="BE650" s="110"/>
      <c r="BF650" s="110"/>
      <c r="BG650" s="110"/>
      <c r="BH650" s="110"/>
      <c r="BI650" s="110"/>
      <c r="BJ650" s="110"/>
      <c r="BK650" s="110"/>
      <c r="BL650" s="110"/>
      <c r="BM650" s="110"/>
      <c r="BN650" s="110"/>
      <c r="BO650" s="110"/>
      <c r="BP650" s="110"/>
      <c r="BQ650" s="110"/>
      <c r="BR650" s="110"/>
      <c r="BS650" s="110"/>
      <c r="BT650" s="110"/>
      <c r="BU650" s="110"/>
      <c r="BV650" s="110"/>
      <c r="BW650" s="110"/>
      <c r="BX650" s="110"/>
      <c r="BY650" s="110"/>
      <c r="BZ650" s="110"/>
      <c r="CA650" s="110"/>
      <c r="CB650" s="110"/>
      <c r="CC650" s="110"/>
    </row>
    <row r="651" spans="1:81" ht="12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  <c r="AS651" s="110"/>
      <c r="AT651" s="110"/>
      <c r="AU651" s="110"/>
      <c r="AV651" s="110"/>
      <c r="AW651" s="110"/>
      <c r="AX651" s="110"/>
      <c r="AY651" s="110"/>
      <c r="AZ651" s="110"/>
      <c r="BA651" s="110"/>
      <c r="BB651" s="110"/>
      <c r="BC651" s="110"/>
      <c r="BD651" s="110"/>
      <c r="BE651" s="110"/>
      <c r="BF651" s="110"/>
      <c r="BG651" s="110"/>
      <c r="BH651" s="110"/>
      <c r="BI651" s="110"/>
      <c r="BJ651" s="110"/>
      <c r="BK651" s="110"/>
      <c r="BL651" s="110"/>
      <c r="BM651" s="110"/>
      <c r="BN651" s="110"/>
      <c r="BO651" s="110"/>
      <c r="BP651" s="110"/>
      <c r="BQ651" s="110"/>
      <c r="BR651" s="110"/>
      <c r="BS651" s="110"/>
      <c r="BT651" s="110"/>
      <c r="BU651" s="110"/>
      <c r="BV651" s="110"/>
      <c r="BW651" s="110"/>
      <c r="BX651" s="110"/>
      <c r="BY651" s="110"/>
      <c r="BZ651" s="110"/>
      <c r="CA651" s="110"/>
      <c r="CB651" s="110"/>
      <c r="CC651" s="110"/>
    </row>
    <row r="652" spans="1:81" ht="12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  <c r="AS652" s="110"/>
      <c r="AT652" s="110"/>
      <c r="AU652" s="110"/>
      <c r="AV652" s="110"/>
      <c r="AW652" s="110"/>
      <c r="AX652" s="110"/>
      <c r="AY652" s="110"/>
      <c r="AZ652" s="110"/>
      <c r="BA652" s="110"/>
      <c r="BB652" s="110"/>
      <c r="BC652" s="110"/>
      <c r="BD652" s="110"/>
      <c r="BE652" s="110"/>
      <c r="BF652" s="110"/>
      <c r="BG652" s="110"/>
      <c r="BH652" s="110"/>
      <c r="BI652" s="110"/>
      <c r="BJ652" s="110"/>
      <c r="BK652" s="110"/>
      <c r="BL652" s="110"/>
      <c r="BM652" s="110"/>
      <c r="BN652" s="110"/>
      <c r="BO652" s="110"/>
      <c r="BP652" s="110"/>
      <c r="BQ652" s="110"/>
      <c r="BR652" s="110"/>
      <c r="BS652" s="110"/>
      <c r="BT652" s="110"/>
      <c r="BU652" s="110"/>
      <c r="BV652" s="110"/>
      <c r="BW652" s="110"/>
      <c r="BX652" s="110"/>
      <c r="BY652" s="110"/>
      <c r="BZ652" s="110"/>
      <c r="CA652" s="110"/>
      <c r="CB652" s="110"/>
      <c r="CC652" s="110"/>
    </row>
    <row r="653" spans="1:81" ht="12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  <c r="AS653" s="110"/>
      <c r="AT653" s="110"/>
      <c r="AU653" s="110"/>
      <c r="AV653" s="110"/>
      <c r="AW653" s="110"/>
      <c r="AX653" s="110"/>
      <c r="AY653" s="110"/>
      <c r="AZ653" s="110"/>
      <c r="BA653" s="110"/>
      <c r="BB653" s="110"/>
      <c r="BC653" s="110"/>
      <c r="BD653" s="110"/>
      <c r="BE653" s="110"/>
      <c r="BF653" s="110"/>
      <c r="BG653" s="110"/>
      <c r="BH653" s="110"/>
      <c r="BI653" s="110"/>
      <c r="BJ653" s="110"/>
      <c r="BK653" s="110"/>
      <c r="BL653" s="110"/>
      <c r="BM653" s="110"/>
      <c r="BN653" s="110"/>
      <c r="BO653" s="110"/>
      <c r="BP653" s="110"/>
      <c r="BQ653" s="110"/>
      <c r="BR653" s="110"/>
      <c r="BS653" s="110"/>
      <c r="BT653" s="110"/>
      <c r="BU653" s="110"/>
      <c r="BV653" s="110"/>
      <c r="BW653" s="110"/>
      <c r="BX653" s="110"/>
      <c r="BY653" s="110"/>
      <c r="BZ653" s="110"/>
      <c r="CA653" s="110"/>
      <c r="CB653" s="110"/>
      <c r="CC653" s="110"/>
    </row>
    <row r="654" spans="1:81" ht="12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  <c r="AS654" s="110"/>
      <c r="AT654" s="110"/>
      <c r="AU654" s="110"/>
      <c r="AV654" s="110"/>
      <c r="AW654" s="110"/>
      <c r="AX654" s="110"/>
      <c r="AY654" s="110"/>
      <c r="AZ654" s="110"/>
      <c r="BA654" s="110"/>
      <c r="BB654" s="110"/>
      <c r="BC654" s="110"/>
      <c r="BD654" s="110"/>
      <c r="BE654" s="110"/>
      <c r="BF654" s="110"/>
      <c r="BG654" s="110"/>
      <c r="BH654" s="110"/>
      <c r="BI654" s="110"/>
      <c r="BJ654" s="110"/>
      <c r="BK654" s="110"/>
      <c r="BL654" s="110"/>
      <c r="BM654" s="110"/>
      <c r="BN654" s="110"/>
      <c r="BO654" s="110"/>
      <c r="BP654" s="110"/>
      <c r="BQ654" s="110"/>
      <c r="BR654" s="110"/>
      <c r="BS654" s="110"/>
      <c r="BT654" s="110"/>
      <c r="BU654" s="110"/>
      <c r="BV654" s="110"/>
      <c r="BW654" s="110"/>
      <c r="BX654" s="110"/>
      <c r="BY654" s="110"/>
      <c r="BZ654" s="110"/>
      <c r="CA654" s="110"/>
      <c r="CB654" s="110"/>
      <c r="CC654" s="110"/>
    </row>
    <row r="655" spans="1:81" ht="12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  <c r="AS655" s="110"/>
      <c r="AT655" s="110"/>
      <c r="AU655" s="110"/>
      <c r="AV655" s="110"/>
      <c r="AW655" s="110"/>
      <c r="AX655" s="110"/>
      <c r="AY655" s="110"/>
      <c r="AZ655" s="110"/>
      <c r="BA655" s="110"/>
      <c r="BB655" s="110"/>
      <c r="BC655" s="110"/>
      <c r="BD655" s="110"/>
      <c r="BE655" s="110"/>
      <c r="BF655" s="110"/>
      <c r="BG655" s="110"/>
      <c r="BH655" s="110"/>
      <c r="BI655" s="110"/>
      <c r="BJ655" s="110"/>
      <c r="BK655" s="110"/>
      <c r="BL655" s="110"/>
      <c r="BM655" s="110"/>
      <c r="BN655" s="110"/>
      <c r="BO655" s="110"/>
      <c r="BP655" s="110"/>
      <c r="BQ655" s="110"/>
      <c r="BR655" s="110"/>
      <c r="BS655" s="110"/>
      <c r="BT655" s="110"/>
      <c r="BU655" s="110"/>
      <c r="BV655" s="110"/>
      <c r="BW655" s="110"/>
      <c r="BX655" s="110"/>
      <c r="BY655" s="110"/>
      <c r="BZ655" s="110"/>
      <c r="CA655" s="110"/>
      <c r="CB655" s="110"/>
      <c r="CC655" s="110"/>
    </row>
    <row r="656" spans="1:81" ht="12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  <c r="AS656" s="110"/>
      <c r="AT656" s="110"/>
      <c r="AU656" s="110"/>
      <c r="AV656" s="110"/>
      <c r="AW656" s="110"/>
      <c r="AX656" s="110"/>
      <c r="AY656" s="110"/>
      <c r="AZ656" s="110"/>
      <c r="BA656" s="110"/>
      <c r="BB656" s="110"/>
      <c r="BC656" s="110"/>
      <c r="BD656" s="110"/>
      <c r="BE656" s="110"/>
      <c r="BF656" s="110"/>
      <c r="BG656" s="110"/>
      <c r="BH656" s="110"/>
      <c r="BI656" s="110"/>
      <c r="BJ656" s="110"/>
      <c r="BK656" s="110"/>
      <c r="BL656" s="110"/>
      <c r="BM656" s="110"/>
      <c r="BN656" s="110"/>
      <c r="BO656" s="110"/>
      <c r="BP656" s="110"/>
      <c r="BQ656" s="110"/>
      <c r="BR656" s="110"/>
      <c r="BS656" s="110"/>
      <c r="BT656" s="110"/>
      <c r="BU656" s="110"/>
      <c r="BV656" s="110"/>
      <c r="BW656" s="110"/>
      <c r="BX656" s="110"/>
      <c r="BY656" s="110"/>
      <c r="BZ656" s="110"/>
      <c r="CA656" s="110"/>
      <c r="CB656" s="110"/>
      <c r="CC656" s="110"/>
    </row>
    <row r="657" spans="1:81" ht="12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  <c r="AS657" s="110"/>
      <c r="AT657" s="110"/>
      <c r="AU657" s="110"/>
      <c r="AV657" s="110"/>
      <c r="AW657" s="110"/>
      <c r="AX657" s="110"/>
      <c r="AY657" s="110"/>
      <c r="AZ657" s="110"/>
      <c r="BA657" s="110"/>
      <c r="BB657" s="110"/>
      <c r="BC657" s="110"/>
      <c r="BD657" s="110"/>
      <c r="BE657" s="110"/>
      <c r="BF657" s="110"/>
      <c r="BG657" s="110"/>
      <c r="BH657" s="110"/>
      <c r="BI657" s="110"/>
      <c r="BJ657" s="110"/>
      <c r="BK657" s="110"/>
      <c r="BL657" s="110"/>
      <c r="BM657" s="110"/>
      <c r="BN657" s="110"/>
      <c r="BO657" s="110"/>
      <c r="BP657" s="110"/>
      <c r="BQ657" s="110"/>
      <c r="BR657" s="110"/>
      <c r="BS657" s="110"/>
      <c r="BT657" s="110"/>
      <c r="BU657" s="110"/>
      <c r="BV657" s="110"/>
      <c r="BW657" s="110"/>
      <c r="BX657" s="110"/>
      <c r="BY657" s="110"/>
      <c r="BZ657" s="110"/>
      <c r="CA657" s="110"/>
      <c r="CB657" s="110"/>
      <c r="CC657" s="110"/>
    </row>
    <row r="658" spans="1:81" ht="12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  <c r="AS658" s="110"/>
      <c r="AT658" s="110"/>
      <c r="AU658" s="110"/>
      <c r="AV658" s="110"/>
      <c r="AW658" s="110"/>
      <c r="AX658" s="110"/>
      <c r="AY658" s="110"/>
      <c r="AZ658" s="110"/>
      <c r="BA658" s="110"/>
      <c r="BB658" s="110"/>
      <c r="BC658" s="110"/>
      <c r="BD658" s="110"/>
      <c r="BE658" s="110"/>
      <c r="BF658" s="110"/>
      <c r="BG658" s="110"/>
      <c r="BH658" s="110"/>
      <c r="BI658" s="110"/>
      <c r="BJ658" s="110"/>
      <c r="BK658" s="110"/>
      <c r="BL658" s="110"/>
      <c r="BM658" s="110"/>
      <c r="BN658" s="110"/>
      <c r="BO658" s="110"/>
      <c r="BP658" s="110"/>
      <c r="BQ658" s="110"/>
      <c r="BR658" s="110"/>
      <c r="BS658" s="110"/>
      <c r="BT658" s="110"/>
      <c r="BU658" s="110"/>
      <c r="BV658" s="110"/>
      <c r="BW658" s="110"/>
      <c r="BX658" s="110"/>
      <c r="BY658" s="110"/>
      <c r="BZ658" s="110"/>
      <c r="CA658" s="110"/>
      <c r="CB658" s="110"/>
      <c r="CC658" s="110"/>
    </row>
    <row r="659" spans="1:81" ht="12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  <c r="AU659" s="110"/>
      <c r="AV659" s="110"/>
      <c r="AW659" s="110"/>
      <c r="AX659" s="110"/>
      <c r="AY659" s="110"/>
      <c r="AZ659" s="110"/>
      <c r="BA659" s="110"/>
      <c r="BB659" s="110"/>
      <c r="BC659" s="110"/>
      <c r="BD659" s="110"/>
      <c r="BE659" s="110"/>
      <c r="BF659" s="110"/>
      <c r="BG659" s="110"/>
      <c r="BH659" s="110"/>
      <c r="BI659" s="110"/>
      <c r="BJ659" s="110"/>
      <c r="BK659" s="110"/>
      <c r="BL659" s="110"/>
      <c r="BM659" s="110"/>
      <c r="BN659" s="110"/>
      <c r="BO659" s="110"/>
      <c r="BP659" s="110"/>
      <c r="BQ659" s="110"/>
      <c r="BR659" s="110"/>
      <c r="BS659" s="110"/>
      <c r="BT659" s="110"/>
      <c r="BU659" s="110"/>
      <c r="BV659" s="110"/>
      <c r="BW659" s="110"/>
      <c r="BX659" s="110"/>
      <c r="BY659" s="110"/>
      <c r="BZ659" s="110"/>
      <c r="CA659" s="110"/>
      <c r="CB659" s="110"/>
      <c r="CC659" s="110"/>
    </row>
    <row r="660" spans="1:81" ht="12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  <c r="AS660" s="110"/>
      <c r="AT660" s="110"/>
      <c r="AU660" s="110"/>
      <c r="AV660" s="110"/>
      <c r="AW660" s="110"/>
      <c r="AX660" s="110"/>
      <c r="AY660" s="110"/>
      <c r="AZ660" s="110"/>
      <c r="BA660" s="110"/>
      <c r="BB660" s="110"/>
      <c r="BC660" s="110"/>
      <c r="BD660" s="110"/>
      <c r="BE660" s="110"/>
      <c r="BF660" s="110"/>
      <c r="BG660" s="110"/>
      <c r="BH660" s="110"/>
      <c r="BI660" s="110"/>
      <c r="BJ660" s="110"/>
      <c r="BK660" s="110"/>
      <c r="BL660" s="110"/>
      <c r="BM660" s="110"/>
      <c r="BN660" s="110"/>
      <c r="BO660" s="110"/>
      <c r="BP660" s="110"/>
      <c r="BQ660" s="110"/>
      <c r="BR660" s="110"/>
      <c r="BS660" s="110"/>
      <c r="BT660" s="110"/>
      <c r="BU660" s="110"/>
      <c r="BV660" s="110"/>
      <c r="BW660" s="110"/>
      <c r="BX660" s="110"/>
      <c r="BY660" s="110"/>
      <c r="BZ660" s="110"/>
      <c r="CA660" s="110"/>
      <c r="CB660" s="110"/>
      <c r="CC660" s="110"/>
    </row>
    <row r="661" spans="1:81" ht="12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  <c r="AS661" s="110"/>
      <c r="AT661" s="110"/>
      <c r="AU661" s="110"/>
      <c r="AV661" s="110"/>
      <c r="AW661" s="110"/>
      <c r="AX661" s="110"/>
      <c r="AY661" s="110"/>
      <c r="AZ661" s="110"/>
      <c r="BA661" s="110"/>
      <c r="BB661" s="110"/>
      <c r="BC661" s="110"/>
      <c r="BD661" s="110"/>
      <c r="BE661" s="110"/>
      <c r="BF661" s="110"/>
      <c r="BG661" s="110"/>
      <c r="BH661" s="110"/>
      <c r="BI661" s="110"/>
      <c r="BJ661" s="110"/>
      <c r="BK661" s="110"/>
      <c r="BL661" s="110"/>
      <c r="BM661" s="110"/>
      <c r="BN661" s="110"/>
      <c r="BO661" s="110"/>
      <c r="BP661" s="110"/>
      <c r="BQ661" s="110"/>
      <c r="BR661" s="110"/>
      <c r="BS661" s="110"/>
      <c r="BT661" s="110"/>
      <c r="BU661" s="110"/>
      <c r="BV661" s="110"/>
      <c r="BW661" s="110"/>
      <c r="BX661" s="110"/>
      <c r="BY661" s="110"/>
      <c r="BZ661" s="110"/>
      <c r="CA661" s="110"/>
      <c r="CB661" s="110"/>
      <c r="CC661" s="110"/>
    </row>
    <row r="662" spans="1:81" ht="12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  <c r="AS662" s="110"/>
      <c r="AT662" s="110"/>
      <c r="AU662" s="110"/>
      <c r="AV662" s="110"/>
      <c r="AW662" s="110"/>
      <c r="AX662" s="110"/>
      <c r="AY662" s="110"/>
      <c r="AZ662" s="110"/>
      <c r="BA662" s="110"/>
      <c r="BB662" s="110"/>
      <c r="BC662" s="110"/>
      <c r="BD662" s="110"/>
      <c r="BE662" s="110"/>
      <c r="BF662" s="110"/>
      <c r="BG662" s="110"/>
      <c r="BH662" s="110"/>
      <c r="BI662" s="110"/>
      <c r="BJ662" s="110"/>
      <c r="BK662" s="110"/>
      <c r="BL662" s="110"/>
      <c r="BM662" s="110"/>
      <c r="BN662" s="110"/>
      <c r="BO662" s="110"/>
      <c r="BP662" s="110"/>
      <c r="BQ662" s="110"/>
      <c r="BR662" s="110"/>
      <c r="BS662" s="110"/>
      <c r="BT662" s="110"/>
      <c r="BU662" s="110"/>
      <c r="BV662" s="110"/>
      <c r="BW662" s="110"/>
      <c r="BX662" s="110"/>
      <c r="BY662" s="110"/>
      <c r="BZ662" s="110"/>
      <c r="CA662" s="110"/>
      <c r="CB662" s="110"/>
      <c r="CC662" s="110"/>
    </row>
    <row r="663" spans="1:81" ht="12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  <c r="AS663" s="110"/>
      <c r="AT663" s="110"/>
      <c r="AU663" s="110"/>
      <c r="AV663" s="110"/>
      <c r="AW663" s="110"/>
      <c r="AX663" s="110"/>
      <c r="AY663" s="110"/>
      <c r="AZ663" s="110"/>
      <c r="BA663" s="110"/>
      <c r="BB663" s="110"/>
      <c r="BC663" s="110"/>
      <c r="BD663" s="110"/>
      <c r="BE663" s="110"/>
      <c r="BF663" s="110"/>
      <c r="BG663" s="110"/>
      <c r="BH663" s="110"/>
      <c r="BI663" s="110"/>
      <c r="BJ663" s="110"/>
      <c r="BK663" s="110"/>
      <c r="BL663" s="110"/>
      <c r="BM663" s="110"/>
      <c r="BN663" s="110"/>
      <c r="BO663" s="110"/>
      <c r="BP663" s="110"/>
      <c r="BQ663" s="110"/>
      <c r="BR663" s="110"/>
      <c r="BS663" s="110"/>
      <c r="BT663" s="110"/>
      <c r="BU663" s="110"/>
      <c r="BV663" s="110"/>
      <c r="BW663" s="110"/>
      <c r="BX663" s="110"/>
      <c r="BY663" s="110"/>
      <c r="BZ663" s="110"/>
      <c r="CA663" s="110"/>
      <c r="CB663" s="110"/>
      <c r="CC663" s="110"/>
    </row>
    <row r="664" spans="1:81" ht="12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  <c r="AS664" s="110"/>
      <c r="AT664" s="110"/>
      <c r="AU664" s="110"/>
      <c r="AV664" s="110"/>
      <c r="AW664" s="110"/>
      <c r="AX664" s="110"/>
      <c r="AY664" s="110"/>
      <c r="AZ664" s="110"/>
      <c r="BA664" s="110"/>
      <c r="BB664" s="110"/>
      <c r="BC664" s="110"/>
      <c r="BD664" s="110"/>
      <c r="BE664" s="110"/>
      <c r="BF664" s="110"/>
      <c r="BG664" s="110"/>
      <c r="BH664" s="110"/>
      <c r="BI664" s="110"/>
      <c r="BJ664" s="110"/>
      <c r="BK664" s="110"/>
      <c r="BL664" s="110"/>
      <c r="BM664" s="110"/>
      <c r="BN664" s="110"/>
      <c r="BO664" s="110"/>
      <c r="BP664" s="110"/>
      <c r="BQ664" s="110"/>
      <c r="BR664" s="110"/>
      <c r="BS664" s="110"/>
      <c r="BT664" s="110"/>
      <c r="BU664" s="110"/>
      <c r="BV664" s="110"/>
      <c r="BW664" s="110"/>
      <c r="BX664" s="110"/>
      <c r="BY664" s="110"/>
      <c r="BZ664" s="110"/>
      <c r="CA664" s="110"/>
      <c r="CB664" s="110"/>
      <c r="CC664" s="110"/>
    </row>
    <row r="665" spans="1:81" ht="12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  <c r="AU665" s="110"/>
      <c r="AV665" s="110"/>
      <c r="AW665" s="110"/>
      <c r="AX665" s="110"/>
      <c r="AY665" s="110"/>
      <c r="AZ665" s="110"/>
      <c r="BA665" s="110"/>
      <c r="BB665" s="110"/>
      <c r="BC665" s="110"/>
      <c r="BD665" s="110"/>
      <c r="BE665" s="110"/>
      <c r="BF665" s="110"/>
      <c r="BG665" s="110"/>
      <c r="BH665" s="110"/>
      <c r="BI665" s="110"/>
      <c r="BJ665" s="110"/>
      <c r="BK665" s="110"/>
      <c r="BL665" s="110"/>
      <c r="BM665" s="110"/>
      <c r="BN665" s="110"/>
      <c r="BO665" s="110"/>
      <c r="BP665" s="110"/>
      <c r="BQ665" s="110"/>
      <c r="BR665" s="110"/>
      <c r="BS665" s="110"/>
      <c r="BT665" s="110"/>
      <c r="BU665" s="110"/>
      <c r="BV665" s="110"/>
      <c r="BW665" s="110"/>
      <c r="BX665" s="110"/>
      <c r="BY665" s="110"/>
      <c r="BZ665" s="110"/>
      <c r="CA665" s="110"/>
      <c r="CB665" s="110"/>
      <c r="CC665" s="110"/>
    </row>
    <row r="666" spans="1:81" ht="12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  <c r="AU666" s="110"/>
      <c r="AV666" s="110"/>
      <c r="AW666" s="110"/>
      <c r="AX666" s="110"/>
      <c r="AY666" s="110"/>
      <c r="AZ666" s="110"/>
      <c r="BA666" s="110"/>
      <c r="BB666" s="110"/>
      <c r="BC666" s="110"/>
      <c r="BD666" s="110"/>
      <c r="BE666" s="110"/>
      <c r="BF666" s="110"/>
      <c r="BG666" s="110"/>
      <c r="BH666" s="110"/>
      <c r="BI666" s="110"/>
      <c r="BJ666" s="110"/>
      <c r="BK666" s="110"/>
      <c r="BL666" s="110"/>
      <c r="BM666" s="110"/>
      <c r="BN666" s="110"/>
      <c r="BO666" s="110"/>
      <c r="BP666" s="110"/>
      <c r="BQ666" s="110"/>
      <c r="BR666" s="110"/>
      <c r="BS666" s="110"/>
      <c r="BT666" s="110"/>
      <c r="BU666" s="110"/>
      <c r="BV666" s="110"/>
      <c r="BW666" s="110"/>
      <c r="BX666" s="110"/>
      <c r="BY666" s="110"/>
      <c r="BZ666" s="110"/>
      <c r="CA666" s="110"/>
      <c r="CB666" s="110"/>
      <c r="CC666" s="110"/>
    </row>
    <row r="667" spans="1:81" ht="12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  <c r="AU667" s="110"/>
      <c r="AV667" s="110"/>
      <c r="AW667" s="110"/>
      <c r="AX667" s="110"/>
      <c r="AY667" s="110"/>
      <c r="AZ667" s="110"/>
      <c r="BA667" s="110"/>
      <c r="BB667" s="110"/>
      <c r="BC667" s="110"/>
      <c r="BD667" s="110"/>
      <c r="BE667" s="110"/>
      <c r="BF667" s="110"/>
      <c r="BG667" s="110"/>
      <c r="BH667" s="110"/>
      <c r="BI667" s="110"/>
      <c r="BJ667" s="110"/>
      <c r="BK667" s="110"/>
      <c r="BL667" s="110"/>
      <c r="BM667" s="110"/>
      <c r="BN667" s="110"/>
      <c r="BO667" s="110"/>
      <c r="BP667" s="110"/>
      <c r="BQ667" s="110"/>
      <c r="BR667" s="110"/>
      <c r="BS667" s="110"/>
      <c r="BT667" s="110"/>
      <c r="BU667" s="110"/>
      <c r="BV667" s="110"/>
      <c r="BW667" s="110"/>
      <c r="BX667" s="110"/>
      <c r="BY667" s="110"/>
      <c r="BZ667" s="110"/>
      <c r="CA667" s="110"/>
      <c r="CB667" s="110"/>
      <c r="CC667" s="110"/>
    </row>
    <row r="668" spans="1:81" ht="12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  <c r="AS668" s="110"/>
      <c r="AT668" s="110"/>
      <c r="AU668" s="110"/>
      <c r="AV668" s="110"/>
      <c r="AW668" s="110"/>
      <c r="AX668" s="110"/>
      <c r="AY668" s="110"/>
      <c r="AZ668" s="110"/>
      <c r="BA668" s="110"/>
      <c r="BB668" s="110"/>
      <c r="BC668" s="110"/>
      <c r="BD668" s="110"/>
      <c r="BE668" s="110"/>
      <c r="BF668" s="110"/>
      <c r="BG668" s="110"/>
      <c r="BH668" s="110"/>
      <c r="BI668" s="110"/>
      <c r="BJ668" s="110"/>
      <c r="BK668" s="110"/>
      <c r="BL668" s="110"/>
      <c r="BM668" s="110"/>
      <c r="BN668" s="110"/>
      <c r="BO668" s="110"/>
      <c r="BP668" s="110"/>
      <c r="BQ668" s="110"/>
      <c r="BR668" s="110"/>
      <c r="BS668" s="110"/>
      <c r="BT668" s="110"/>
      <c r="BU668" s="110"/>
      <c r="BV668" s="110"/>
      <c r="BW668" s="110"/>
      <c r="BX668" s="110"/>
      <c r="BY668" s="110"/>
      <c r="BZ668" s="110"/>
      <c r="CA668" s="110"/>
      <c r="CB668" s="110"/>
      <c r="CC668" s="110"/>
    </row>
    <row r="669" spans="1:81" ht="12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  <c r="AS669" s="110"/>
      <c r="AT669" s="110"/>
      <c r="AU669" s="110"/>
      <c r="AV669" s="110"/>
      <c r="AW669" s="110"/>
      <c r="AX669" s="110"/>
      <c r="AY669" s="110"/>
      <c r="AZ669" s="110"/>
      <c r="BA669" s="110"/>
      <c r="BB669" s="110"/>
      <c r="BC669" s="110"/>
      <c r="BD669" s="110"/>
      <c r="BE669" s="110"/>
      <c r="BF669" s="110"/>
      <c r="BG669" s="110"/>
      <c r="BH669" s="110"/>
      <c r="BI669" s="110"/>
      <c r="BJ669" s="110"/>
      <c r="BK669" s="110"/>
      <c r="BL669" s="110"/>
      <c r="BM669" s="110"/>
      <c r="BN669" s="110"/>
      <c r="BO669" s="110"/>
      <c r="BP669" s="110"/>
      <c r="BQ669" s="110"/>
      <c r="BR669" s="110"/>
      <c r="BS669" s="110"/>
      <c r="BT669" s="110"/>
      <c r="BU669" s="110"/>
      <c r="BV669" s="110"/>
      <c r="BW669" s="110"/>
      <c r="BX669" s="110"/>
      <c r="BY669" s="110"/>
      <c r="BZ669" s="110"/>
      <c r="CA669" s="110"/>
      <c r="CB669" s="110"/>
      <c r="CC669" s="110"/>
    </row>
    <row r="670" spans="1:81" ht="12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  <c r="AS670" s="110"/>
      <c r="AT670" s="110"/>
      <c r="AU670" s="110"/>
      <c r="AV670" s="110"/>
      <c r="AW670" s="110"/>
      <c r="AX670" s="110"/>
      <c r="AY670" s="110"/>
      <c r="AZ670" s="110"/>
      <c r="BA670" s="110"/>
      <c r="BB670" s="110"/>
      <c r="BC670" s="110"/>
      <c r="BD670" s="110"/>
      <c r="BE670" s="110"/>
      <c r="BF670" s="110"/>
      <c r="BG670" s="110"/>
      <c r="BH670" s="110"/>
      <c r="BI670" s="110"/>
      <c r="BJ670" s="110"/>
      <c r="BK670" s="110"/>
      <c r="BL670" s="110"/>
      <c r="BM670" s="110"/>
      <c r="BN670" s="110"/>
      <c r="BO670" s="110"/>
      <c r="BP670" s="110"/>
      <c r="BQ670" s="110"/>
      <c r="BR670" s="110"/>
      <c r="BS670" s="110"/>
      <c r="BT670" s="110"/>
      <c r="BU670" s="110"/>
      <c r="BV670" s="110"/>
      <c r="BW670" s="110"/>
      <c r="BX670" s="110"/>
      <c r="BY670" s="110"/>
      <c r="BZ670" s="110"/>
      <c r="CA670" s="110"/>
      <c r="CB670" s="110"/>
      <c r="CC670" s="110"/>
    </row>
    <row r="671" spans="1:81" ht="12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  <c r="AU671" s="110"/>
      <c r="AV671" s="110"/>
      <c r="AW671" s="110"/>
      <c r="AX671" s="110"/>
      <c r="AY671" s="110"/>
      <c r="AZ671" s="110"/>
      <c r="BA671" s="110"/>
      <c r="BB671" s="110"/>
      <c r="BC671" s="110"/>
      <c r="BD671" s="110"/>
      <c r="BE671" s="110"/>
      <c r="BF671" s="110"/>
      <c r="BG671" s="110"/>
      <c r="BH671" s="110"/>
      <c r="BI671" s="110"/>
      <c r="BJ671" s="110"/>
      <c r="BK671" s="110"/>
      <c r="BL671" s="110"/>
      <c r="BM671" s="110"/>
      <c r="BN671" s="110"/>
      <c r="BO671" s="110"/>
      <c r="BP671" s="110"/>
      <c r="BQ671" s="110"/>
      <c r="BR671" s="110"/>
      <c r="BS671" s="110"/>
      <c r="BT671" s="110"/>
      <c r="BU671" s="110"/>
      <c r="BV671" s="110"/>
      <c r="BW671" s="110"/>
      <c r="BX671" s="110"/>
      <c r="BY671" s="110"/>
      <c r="BZ671" s="110"/>
      <c r="CA671" s="110"/>
      <c r="CB671" s="110"/>
      <c r="CC671" s="110"/>
    </row>
    <row r="672" spans="1:81" ht="12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  <c r="AU672" s="110"/>
      <c r="AV672" s="110"/>
      <c r="AW672" s="110"/>
      <c r="AX672" s="110"/>
      <c r="AY672" s="110"/>
      <c r="AZ672" s="110"/>
      <c r="BA672" s="110"/>
      <c r="BB672" s="110"/>
      <c r="BC672" s="110"/>
      <c r="BD672" s="110"/>
      <c r="BE672" s="110"/>
      <c r="BF672" s="110"/>
      <c r="BG672" s="110"/>
      <c r="BH672" s="110"/>
      <c r="BI672" s="110"/>
      <c r="BJ672" s="110"/>
      <c r="BK672" s="110"/>
      <c r="BL672" s="110"/>
      <c r="BM672" s="110"/>
      <c r="BN672" s="110"/>
      <c r="BO672" s="110"/>
      <c r="BP672" s="110"/>
      <c r="BQ672" s="110"/>
      <c r="BR672" s="110"/>
      <c r="BS672" s="110"/>
      <c r="BT672" s="110"/>
      <c r="BU672" s="110"/>
      <c r="BV672" s="110"/>
      <c r="BW672" s="110"/>
      <c r="BX672" s="110"/>
      <c r="BY672" s="110"/>
      <c r="BZ672" s="110"/>
      <c r="CA672" s="110"/>
      <c r="CB672" s="110"/>
      <c r="CC672" s="110"/>
    </row>
    <row r="673" spans="1:81" ht="12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  <c r="AU673" s="110"/>
      <c r="AV673" s="110"/>
      <c r="AW673" s="110"/>
      <c r="AX673" s="110"/>
      <c r="AY673" s="110"/>
      <c r="AZ673" s="110"/>
      <c r="BA673" s="110"/>
      <c r="BB673" s="110"/>
      <c r="BC673" s="110"/>
      <c r="BD673" s="110"/>
      <c r="BE673" s="110"/>
      <c r="BF673" s="110"/>
      <c r="BG673" s="110"/>
      <c r="BH673" s="110"/>
      <c r="BI673" s="110"/>
      <c r="BJ673" s="110"/>
      <c r="BK673" s="110"/>
      <c r="BL673" s="110"/>
      <c r="BM673" s="110"/>
      <c r="BN673" s="110"/>
      <c r="BO673" s="110"/>
      <c r="BP673" s="110"/>
      <c r="BQ673" s="110"/>
      <c r="BR673" s="110"/>
      <c r="BS673" s="110"/>
      <c r="BT673" s="110"/>
      <c r="BU673" s="110"/>
      <c r="BV673" s="110"/>
      <c r="BW673" s="110"/>
      <c r="BX673" s="110"/>
      <c r="BY673" s="110"/>
      <c r="BZ673" s="110"/>
      <c r="CA673" s="110"/>
      <c r="CB673" s="110"/>
      <c r="CC673" s="110"/>
    </row>
    <row r="674" spans="1:81" ht="12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  <c r="AU674" s="110"/>
      <c r="AV674" s="110"/>
      <c r="AW674" s="110"/>
      <c r="AX674" s="110"/>
      <c r="AY674" s="110"/>
      <c r="AZ674" s="110"/>
      <c r="BA674" s="110"/>
      <c r="BB674" s="110"/>
      <c r="BC674" s="110"/>
      <c r="BD674" s="110"/>
      <c r="BE674" s="110"/>
      <c r="BF674" s="110"/>
      <c r="BG674" s="110"/>
      <c r="BH674" s="110"/>
      <c r="BI674" s="110"/>
      <c r="BJ674" s="110"/>
      <c r="BK674" s="110"/>
      <c r="BL674" s="110"/>
      <c r="BM674" s="110"/>
      <c r="BN674" s="110"/>
      <c r="BO674" s="110"/>
      <c r="BP674" s="110"/>
      <c r="BQ674" s="110"/>
      <c r="BR674" s="110"/>
      <c r="BS674" s="110"/>
      <c r="BT674" s="110"/>
      <c r="BU674" s="110"/>
      <c r="BV674" s="110"/>
      <c r="BW674" s="110"/>
      <c r="BX674" s="110"/>
      <c r="BY674" s="110"/>
      <c r="BZ674" s="110"/>
      <c r="CA674" s="110"/>
      <c r="CB674" s="110"/>
      <c r="CC674" s="110"/>
    </row>
    <row r="675" spans="1:81" ht="12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  <c r="AU675" s="110"/>
      <c r="AV675" s="110"/>
      <c r="AW675" s="110"/>
      <c r="AX675" s="110"/>
      <c r="AY675" s="110"/>
      <c r="AZ675" s="110"/>
      <c r="BA675" s="110"/>
      <c r="BB675" s="110"/>
      <c r="BC675" s="110"/>
      <c r="BD675" s="110"/>
      <c r="BE675" s="110"/>
      <c r="BF675" s="110"/>
      <c r="BG675" s="110"/>
      <c r="BH675" s="110"/>
      <c r="BI675" s="110"/>
      <c r="BJ675" s="110"/>
      <c r="BK675" s="110"/>
      <c r="BL675" s="110"/>
      <c r="BM675" s="110"/>
      <c r="BN675" s="110"/>
      <c r="BO675" s="110"/>
      <c r="BP675" s="110"/>
      <c r="BQ675" s="110"/>
      <c r="BR675" s="110"/>
      <c r="BS675" s="110"/>
      <c r="BT675" s="110"/>
      <c r="BU675" s="110"/>
      <c r="BV675" s="110"/>
      <c r="BW675" s="110"/>
      <c r="BX675" s="110"/>
      <c r="BY675" s="110"/>
      <c r="BZ675" s="110"/>
      <c r="CA675" s="110"/>
      <c r="CB675" s="110"/>
      <c r="CC675" s="110"/>
    </row>
    <row r="676" spans="1:81" ht="12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  <c r="AU676" s="110"/>
      <c r="AV676" s="110"/>
      <c r="AW676" s="110"/>
      <c r="AX676" s="110"/>
      <c r="AY676" s="110"/>
      <c r="AZ676" s="110"/>
      <c r="BA676" s="110"/>
      <c r="BB676" s="110"/>
      <c r="BC676" s="110"/>
      <c r="BD676" s="110"/>
      <c r="BE676" s="110"/>
      <c r="BF676" s="110"/>
      <c r="BG676" s="110"/>
      <c r="BH676" s="110"/>
      <c r="BI676" s="110"/>
      <c r="BJ676" s="110"/>
      <c r="BK676" s="110"/>
      <c r="BL676" s="110"/>
      <c r="BM676" s="110"/>
      <c r="BN676" s="110"/>
      <c r="BO676" s="110"/>
      <c r="BP676" s="110"/>
      <c r="BQ676" s="110"/>
      <c r="BR676" s="110"/>
      <c r="BS676" s="110"/>
      <c r="BT676" s="110"/>
      <c r="BU676" s="110"/>
      <c r="BV676" s="110"/>
      <c r="BW676" s="110"/>
      <c r="BX676" s="110"/>
      <c r="BY676" s="110"/>
      <c r="BZ676" s="110"/>
      <c r="CA676" s="110"/>
      <c r="CB676" s="110"/>
      <c r="CC676" s="110"/>
    </row>
    <row r="677" spans="1:81" ht="12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  <c r="AS677" s="110"/>
      <c r="AT677" s="110"/>
      <c r="AU677" s="110"/>
      <c r="AV677" s="110"/>
      <c r="AW677" s="110"/>
      <c r="AX677" s="110"/>
      <c r="AY677" s="110"/>
      <c r="AZ677" s="110"/>
      <c r="BA677" s="110"/>
      <c r="BB677" s="110"/>
      <c r="BC677" s="110"/>
      <c r="BD677" s="110"/>
      <c r="BE677" s="110"/>
      <c r="BF677" s="110"/>
      <c r="BG677" s="110"/>
      <c r="BH677" s="110"/>
      <c r="BI677" s="110"/>
      <c r="BJ677" s="110"/>
      <c r="BK677" s="110"/>
      <c r="BL677" s="110"/>
      <c r="BM677" s="110"/>
      <c r="BN677" s="110"/>
      <c r="BO677" s="110"/>
      <c r="BP677" s="110"/>
      <c r="BQ677" s="110"/>
      <c r="BR677" s="110"/>
      <c r="BS677" s="110"/>
      <c r="BT677" s="110"/>
      <c r="BU677" s="110"/>
      <c r="BV677" s="110"/>
      <c r="BW677" s="110"/>
      <c r="BX677" s="110"/>
      <c r="BY677" s="110"/>
      <c r="BZ677" s="110"/>
      <c r="CA677" s="110"/>
      <c r="CB677" s="110"/>
      <c r="CC677" s="110"/>
    </row>
    <row r="678" spans="1:81" ht="12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  <c r="AS678" s="110"/>
      <c r="AT678" s="110"/>
      <c r="AU678" s="110"/>
      <c r="AV678" s="110"/>
      <c r="AW678" s="110"/>
      <c r="AX678" s="110"/>
      <c r="AY678" s="110"/>
      <c r="AZ678" s="110"/>
      <c r="BA678" s="110"/>
      <c r="BB678" s="110"/>
      <c r="BC678" s="110"/>
      <c r="BD678" s="110"/>
      <c r="BE678" s="110"/>
      <c r="BF678" s="110"/>
      <c r="BG678" s="110"/>
      <c r="BH678" s="110"/>
      <c r="BI678" s="110"/>
      <c r="BJ678" s="110"/>
      <c r="BK678" s="110"/>
      <c r="BL678" s="110"/>
      <c r="BM678" s="110"/>
      <c r="BN678" s="110"/>
      <c r="BO678" s="110"/>
      <c r="BP678" s="110"/>
      <c r="BQ678" s="110"/>
      <c r="BR678" s="110"/>
      <c r="BS678" s="110"/>
      <c r="BT678" s="110"/>
      <c r="BU678" s="110"/>
      <c r="BV678" s="110"/>
      <c r="BW678" s="110"/>
      <c r="BX678" s="110"/>
      <c r="BY678" s="110"/>
      <c r="BZ678" s="110"/>
      <c r="CA678" s="110"/>
      <c r="CB678" s="110"/>
      <c r="CC678" s="110"/>
    </row>
    <row r="679" spans="1:81" ht="12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  <c r="AS679" s="110"/>
      <c r="AT679" s="110"/>
      <c r="AU679" s="110"/>
      <c r="AV679" s="110"/>
      <c r="AW679" s="110"/>
      <c r="AX679" s="110"/>
      <c r="AY679" s="110"/>
      <c r="AZ679" s="110"/>
      <c r="BA679" s="110"/>
      <c r="BB679" s="110"/>
      <c r="BC679" s="110"/>
      <c r="BD679" s="110"/>
      <c r="BE679" s="110"/>
      <c r="BF679" s="110"/>
      <c r="BG679" s="110"/>
      <c r="BH679" s="110"/>
      <c r="BI679" s="110"/>
      <c r="BJ679" s="110"/>
      <c r="BK679" s="110"/>
      <c r="BL679" s="110"/>
      <c r="BM679" s="110"/>
      <c r="BN679" s="110"/>
      <c r="BO679" s="110"/>
      <c r="BP679" s="110"/>
      <c r="BQ679" s="110"/>
      <c r="BR679" s="110"/>
      <c r="BS679" s="110"/>
      <c r="BT679" s="110"/>
      <c r="BU679" s="110"/>
      <c r="BV679" s="110"/>
      <c r="BW679" s="110"/>
      <c r="BX679" s="110"/>
      <c r="BY679" s="110"/>
      <c r="BZ679" s="110"/>
      <c r="CA679" s="110"/>
      <c r="CB679" s="110"/>
      <c r="CC679" s="110"/>
    </row>
    <row r="680" spans="1:81" ht="12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  <c r="AS680" s="110"/>
      <c r="AT680" s="110"/>
      <c r="AU680" s="110"/>
      <c r="AV680" s="110"/>
      <c r="AW680" s="110"/>
      <c r="AX680" s="110"/>
      <c r="AY680" s="110"/>
      <c r="AZ680" s="110"/>
      <c r="BA680" s="110"/>
      <c r="BB680" s="110"/>
      <c r="BC680" s="110"/>
      <c r="BD680" s="110"/>
      <c r="BE680" s="110"/>
      <c r="BF680" s="110"/>
      <c r="BG680" s="110"/>
      <c r="BH680" s="110"/>
      <c r="BI680" s="110"/>
      <c r="BJ680" s="110"/>
      <c r="BK680" s="110"/>
      <c r="BL680" s="110"/>
      <c r="BM680" s="110"/>
      <c r="BN680" s="110"/>
      <c r="BO680" s="110"/>
      <c r="BP680" s="110"/>
      <c r="BQ680" s="110"/>
      <c r="BR680" s="110"/>
      <c r="BS680" s="110"/>
      <c r="BT680" s="110"/>
      <c r="BU680" s="110"/>
      <c r="BV680" s="110"/>
      <c r="BW680" s="110"/>
      <c r="BX680" s="110"/>
      <c r="BY680" s="110"/>
      <c r="BZ680" s="110"/>
      <c r="CA680" s="110"/>
      <c r="CB680" s="110"/>
      <c r="CC680" s="110"/>
    </row>
    <row r="681" spans="1:81" ht="12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  <c r="AS681" s="110"/>
      <c r="AT681" s="110"/>
      <c r="AU681" s="110"/>
      <c r="AV681" s="110"/>
      <c r="AW681" s="110"/>
      <c r="AX681" s="110"/>
      <c r="AY681" s="110"/>
      <c r="AZ681" s="110"/>
      <c r="BA681" s="110"/>
      <c r="BB681" s="110"/>
      <c r="BC681" s="110"/>
      <c r="BD681" s="110"/>
      <c r="BE681" s="110"/>
      <c r="BF681" s="110"/>
      <c r="BG681" s="110"/>
      <c r="BH681" s="110"/>
      <c r="BI681" s="110"/>
      <c r="BJ681" s="110"/>
      <c r="BK681" s="110"/>
      <c r="BL681" s="110"/>
      <c r="BM681" s="110"/>
      <c r="BN681" s="110"/>
      <c r="BO681" s="110"/>
      <c r="BP681" s="110"/>
      <c r="BQ681" s="110"/>
      <c r="BR681" s="110"/>
      <c r="BS681" s="110"/>
      <c r="BT681" s="110"/>
      <c r="BU681" s="110"/>
      <c r="BV681" s="110"/>
      <c r="BW681" s="110"/>
      <c r="BX681" s="110"/>
      <c r="BY681" s="110"/>
      <c r="BZ681" s="110"/>
      <c r="CA681" s="110"/>
      <c r="CB681" s="110"/>
      <c r="CC681" s="110"/>
    </row>
    <row r="682" spans="1:81" ht="12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  <c r="AS682" s="110"/>
      <c r="AT682" s="110"/>
      <c r="AU682" s="110"/>
      <c r="AV682" s="110"/>
      <c r="AW682" s="110"/>
      <c r="AX682" s="110"/>
      <c r="AY682" s="110"/>
      <c r="AZ682" s="110"/>
      <c r="BA682" s="110"/>
      <c r="BB682" s="110"/>
      <c r="BC682" s="110"/>
      <c r="BD682" s="110"/>
      <c r="BE682" s="110"/>
      <c r="BF682" s="110"/>
      <c r="BG682" s="110"/>
      <c r="BH682" s="110"/>
      <c r="BI682" s="110"/>
      <c r="BJ682" s="110"/>
      <c r="BK682" s="110"/>
      <c r="BL682" s="110"/>
      <c r="BM682" s="110"/>
      <c r="BN682" s="110"/>
      <c r="BO682" s="110"/>
      <c r="BP682" s="110"/>
      <c r="BQ682" s="110"/>
      <c r="BR682" s="110"/>
      <c r="BS682" s="110"/>
      <c r="BT682" s="110"/>
      <c r="BU682" s="110"/>
      <c r="BV682" s="110"/>
      <c r="BW682" s="110"/>
      <c r="BX682" s="110"/>
      <c r="BY682" s="110"/>
      <c r="BZ682" s="110"/>
      <c r="CA682" s="110"/>
      <c r="CB682" s="110"/>
      <c r="CC682" s="110"/>
    </row>
    <row r="683" spans="1:81" ht="12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  <c r="AU683" s="110"/>
      <c r="AV683" s="110"/>
      <c r="AW683" s="110"/>
      <c r="AX683" s="110"/>
      <c r="AY683" s="110"/>
      <c r="AZ683" s="110"/>
      <c r="BA683" s="110"/>
      <c r="BB683" s="110"/>
      <c r="BC683" s="110"/>
      <c r="BD683" s="110"/>
      <c r="BE683" s="110"/>
      <c r="BF683" s="110"/>
      <c r="BG683" s="110"/>
      <c r="BH683" s="110"/>
      <c r="BI683" s="110"/>
      <c r="BJ683" s="110"/>
      <c r="BK683" s="110"/>
      <c r="BL683" s="110"/>
      <c r="BM683" s="110"/>
      <c r="BN683" s="110"/>
      <c r="BO683" s="110"/>
      <c r="BP683" s="110"/>
      <c r="BQ683" s="110"/>
      <c r="BR683" s="110"/>
      <c r="BS683" s="110"/>
      <c r="BT683" s="110"/>
      <c r="BU683" s="110"/>
      <c r="BV683" s="110"/>
      <c r="BW683" s="110"/>
      <c r="BX683" s="110"/>
      <c r="BY683" s="110"/>
      <c r="BZ683" s="110"/>
      <c r="CA683" s="110"/>
      <c r="CB683" s="110"/>
      <c r="CC683" s="110"/>
    </row>
    <row r="684" spans="1:81" ht="12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  <c r="AU684" s="110"/>
      <c r="AV684" s="110"/>
      <c r="AW684" s="110"/>
      <c r="AX684" s="110"/>
      <c r="AY684" s="110"/>
      <c r="AZ684" s="110"/>
      <c r="BA684" s="110"/>
      <c r="BB684" s="110"/>
      <c r="BC684" s="110"/>
      <c r="BD684" s="110"/>
      <c r="BE684" s="110"/>
      <c r="BF684" s="110"/>
      <c r="BG684" s="110"/>
      <c r="BH684" s="110"/>
      <c r="BI684" s="110"/>
      <c r="BJ684" s="110"/>
      <c r="BK684" s="110"/>
      <c r="BL684" s="110"/>
      <c r="BM684" s="110"/>
      <c r="BN684" s="110"/>
      <c r="BO684" s="110"/>
      <c r="BP684" s="110"/>
      <c r="BQ684" s="110"/>
      <c r="BR684" s="110"/>
      <c r="BS684" s="110"/>
      <c r="BT684" s="110"/>
      <c r="BU684" s="110"/>
      <c r="BV684" s="110"/>
      <c r="BW684" s="110"/>
      <c r="BX684" s="110"/>
      <c r="BY684" s="110"/>
      <c r="BZ684" s="110"/>
      <c r="CA684" s="110"/>
      <c r="CB684" s="110"/>
      <c r="CC684" s="110"/>
    </row>
    <row r="685" spans="1:81" ht="12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  <c r="AU685" s="110"/>
      <c r="AV685" s="110"/>
      <c r="AW685" s="110"/>
      <c r="AX685" s="110"/>
      <c r="AY685" s="110"/>
      <c r="AZ685" s="110"/>
      <c r="BA685" s="110"/>
      <c r="BB685" s="110"/>
      <c r="BC685" s="110"/>
      <c r="BD685" s="110"/>
      <c r="BE685" s="110"/>
      <c r="BF685" s="110"/>
      <c r="BG685" s="110"/>
      <c r="BH685" s="110"/>
      <c r="BI685" s="110"/>
      <c r="BJ685" s="110"/>
      <c r="BK685" s="110"/>
      <c r="BL685" s="110"/>
      <c r="BM685" s="110"/>
      <c r="BN685" s="110"/>
      <c r="BO685" s="110"/>
      <c r="BP685" s="110"/>
      <c r="BQ685" s="110"/>
      <c r="BR685" s="110"/>
      <c r="BS685" s="110"/>
      <c r="BT685" s="110"/>
      <c r="BU685" s="110"/>
      <c r="BV685" s="110"/>
      <c r="BW685" s="110"/>
      <c r="BX685" s="110"/>
      <c r="BY685" s="110"/>
      <c r="BZ685" s="110"/>
      <c r="CA685" s="110"/>
      <c r="CB685" s="110"/>
      <c r="CC685" s="110"/>
    </row>
    <row r="686" spans="1:81" ht="12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  <c r="AU686" s="110"/>
      <c r="AV686" s="110"/>
      <c r="AW686" s="110"/>
      <c r="AX686" s="110"/>
      <c r="AY686" s="110"/>
      <c r="AZ686" s="110"/>
      <c r="BA686" s="110"/>
      <c r="BB686" s="110"/>
      <c r="BC686" s="110"/>
      <c r="BD686" s="110"/>
      <c r="BE686" s="110"/>
      <c r="BF686" s="110"/>
      <c r="BG686" s="110"/>
      <c r="BH686" s="110"/>
      <c r="BI686" s="110"/>
      <c r="BJ686" s="110"/>
      <c r="BK686" s="110"/>
      <c r="BL686" s="110"/>
      <c r="BM686" s="110"/>
      <c r="BN686" s="110"/>
      <c r="BO686" s="110"/>
      <c r="BP686" s="110"/>
      <c r="BQ686" s="110"/>
      <c r="BR686" s="110"/>
      <c r="BS686" s="110"/>
      <c r="BT686" s="110"/>
      <c r="BU686" s="110"/>
      <c r="BV686" s="110"/>
      <c r="BW686" s="110"/>
      <c r="BX686" s="110"/>
      <c r="BY686" s="110"/>
      <c r="BZ686" s="110"/>
      <c r="CA686" s="110"/>
      <c r="CB686" s="110"/>
      <c r="CC686" s="110"/>
    </row>
    <row r="687" spans="1:81" ht="12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  <c r="AV687" s="110"/>
      <c r="AW687" s="110"/>
      <c r="AX687" s="110"/>
      <c r="AY687" s="110"/>
      <c r="AZ687" s="110"/>
      <c r="BA687" s="110"/>
      <c r="BB687" s="110"/>
      <c r="BC687" s="110"/>
      <c r="BD687" s="110"/>
      <c r="BE687" s="110"/>
      <c r="BF687" s="110"/>
      <c r="BG687" s="110"/>
      <c r="BH687" s="110"/>
      <c r="BI687" s="110"/>
      <c r="BJ687" s="110"/>
      <c r="BK687" s="110"/>
      <c r="BL687" s="110"/>
      <c r="BM687" s="110"/>
      <c r="BN687" s="110"/>
      <c r="BO687" s="110"/>
      <c r="BP687" s="110"/>
      <c r="BQ687" s="110"/>
      <c r="BR687" s="110"/>
      <c r="BS687" s="110"/>
      <c r="BT687" s="110"/>
      <c r="BU687" s="110"/>
      <c r="BV687" s="110"/>
      <c r="BW687" s="110"/>
      <c r="BX687" s="110"/>
      <c r="BY687" s="110"/>
      <c r="BZ687" s="110"/>
      <c r="CA687" s="110"/>
      <c r="CB687" s="110"/>
      <c r="CC687" s="110"/>
    </row>
    <row r="688" spans="1:81" ht="12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  <c r="AU688" s="110"/>
      <c r="AV688" s="110"/>
      <c r="AW688" s="110"/>
      <c r="AX688" s="110"/>
      <c r="AY688" s="110"/>
      <c r="AZ688" s="110"/>
      <c r="BA688" s="110"/>
      <c r="BB688" s="110"/>
      <c r="BC688" s="110"/>
      <c r="BD688" s="110"/>
      <c r="BE688" s="110"/>
      <c r="BF688" s="110"/>
      <c r="BG688" s="110"/>
      <c r="BH688" s="110"/>
      <c r="BI688" s="110"/>
      <c r="BJ688" s="110"/>
      <c r="BK688" s="110"/>
      <c r="BL688" s="110"/>
      <c r="BM688" s="110"/>
      <c r="BN688" s="110"/>
      <c r="BO688" s="110"/>
      <c r="BP688" s="110"/>
      <c r="BQ688" s="110"/>
      <c r="BR688" s="110"/>
      <c r="BS688" s="110"/>
      <c r="BT688" s="110"/>
      <c r="BU688" s="110"/>
      <c r="BV688" s="110"/>
      <c r="BW688" s="110"/>
      <c r="BX688" s="110"/>
      <c r="BY688" s="110"/>
      <c r="BZ688" s="110"/>
      <c r="CA688" s="110"/>
      <c r="CB688" s="110"/>
      <c r="CC688" s="110"/>
    </row>
    <row r="689" spans="1:81" ht="12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  <c r="AU689" s="110"/>
      <c r="AV689" s="110"/>
      <c r="AW689" s="110"/>
      <c r="AX689" s="110"/>
      <c r="AY689" s="110"/>
      <c r="AZ689" s="110"/>
      <c r="BA689" s="110"/>
      <c r="BB689" s="110"/>
      <c r="BC689" s="110"/>
      <c r="BD689" s="110"/>
      <c r="BE689" s="110"/>
      <c r="BF689" s="110"/>
      <c r="BG689" s="110"/>
      <c r="BH689" s="110"/>
      <c r="BI689" s="110"/>
      <c r="BJ689" s="110"/>
      <c r="BK689" s="110"/>
      <c r="BL689" s="110"/>
      <c r="BM689" s="110"/>
      <c r="BN689" s="110"/>
      <c r="BO689" s="110"/>
      <c r="BP689" s="110"/>
      <c r="BQ689" s="110"/>
      <c r="BR689" s="110"/>
      <c r="BS689" s="110"/>
      <c r="BT689" s="110"/>
      <c r="BU689" s="110"/>
      <c r="BV689" s="110"/>
      <c r="BW689" s="110"/>
      <c r="BX689" s="110"/>
      <c r="BY689" s="110"/>
      <c r="BZ689" s="110"/>
      <c r="CA689" s="110"/>
      <c r="CB689" s="110"/>
      <c r="CC689" s="110"/>
    </row>
    <row r="690" spans="1:81" ht="12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  <c r="AU690" s="110"/>
      <c r="AV690" s="110"/>
      <c r="AW690" s="110"/>
      <c r="AX690" s="110"/>
      <c r="AY690" s="110"/>
      <c r="AZ690" s="110"/>
      <c r="BA690" s="110"/>
      <c r="BB690" s="110"/>
      <c r="BC690" s="110"/>
      <c r="BD690" s="110"/>
      <c r="BE690" s="110"/>
      <c r="BF690" s="110"/>
      <c r="BG690" s="110"/>
      <c r="BH690" s="110"/>
      <c r="BI690" s="110"/>
      <c r="BJ690" s="110"/>
      <c r="BK690" s="110"/>
      <c r="BL690" s="110"/>
      <c r="BM690" s="110"/>
      <c r="BN690" s="110"/>
      <c r="BO690" s="110"/>
      <c r="BP690" s="110"/>
      <c r="BQ690" s="110"/>
      <c r="BR690" s="110"/>
      <c r="BS690" s="110"/>
      <c r="BT690" s="110"/>
      <c r="BU690" s="110"/>
      <c r="BV690" s="110"/>
      <c r="BW690" s="110"/>
      <c r="BX690" s="110"/>
      <c r="BY690" s="110"/>
      <c r="BZ690" s="110"/>
      <c r="CA690" s="110"/>
      <c r="CB690" s="110"/>
      <c r="CC690" s="110"/>
    </row>
    <row r="691" spans="1:81" ht="12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  <c r="AU691" s="110"/>
      <c r="AV691" s="110"/>
      <c r="AW691" s="110"/>
      <c r="AX691" s="110"/>
      <c r="AY691" s="110"/>
      <c r="AZ691" s="110"/>
      <c r="BA691" s="110"/>
      <c r="BB691" s="110"/>
      <c r="BC691" s="110"/>
      <c r="BD691" s="110"/>
      <c r="BE691" s="110"/>
      <c r="BF691" s="110"/>
      <c r="BG691" s="110"/>
      <c r="BH691" s="110"/>
      <c r="BI691" s="110"/>
      <c r="BJ691" s="110"/>
      <c r="BK691" s="110"/>
      <c r="BL691" s="110"/>
      <c r="BM691" s="110"/>
      <c r="BN691" s="110"/>
      <c r="BO691" s="110"/>
      <c r="BP691" s="110"/>
      <c r="BQ691" s="110"/>
      <c r="BR691" s="110"/>
      <c r="BS691" s="110"/>
      <c r="BT691" s="110"/>
      <c r="BU691" s="110"/>
      <c r="BV691" s="110"/>
      <c r="BW691" s="110"/>
      <c r="BX691" s="110"/>
      <c r="BY691" s="110"/>
      <c r="BZ691" s="110"/>
      <c r="CA691" s="110"/>
      <c r="CB691" s="110"/>
      <c r="CC691" s="110"/>
    </row>
    <row r="692" spans="1:81" ht="12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  <c r="AU692" s="110"/>
      <c r="AV692" s="110"/>
      <c r="AW692" s="110"/>
      <c r="AX692" s="110"/>
      <c r="AY692" s="110"/>
      <c r="AZ692" s="110"/>
      <c r="BA692" s="110"/>
      <c r="BB692" s="110"/>
      <c r="BC692" s="110"/>
      <c r="BD692" s="110"/>
      <c r="BE692" s="110"/>
      <c r="BF692" s="110"/>
      <c r="BG692" s="110"/>
      <c r="BH692" s="110"/>
      <c r="BI692" s="110"/>
      <c r="BJ692" s="110"/>
      <c r="BK692" s="110"/>
      <c r="BL692" s="110"/>
      <c r="BM692" s="110"/>
      <c r="BN692" s="110"/>
      <c r="BO692" s="110"/>
      <c r="BP692" s="110"/>
      <c r="BQ692" s="110"/>
      <c r="BR692" s="110"/>
      <c r="BS692" s="110"/>
      <c r="BT692" s="110"/>
      <c r="BU692" s="110"/>
      <c r="BV692" s="110"/>
      <c r="BW692" s="110"/>
      <c r="BX692" s="110"/>
      <c r="BY692" s="110"/>
      <c r="BZ692" s="110"/>
      <c r="CA692" s="110"/>
      <c r="CB692" s="110"/>
      <c r="CC692" s="110"/>
    </row>
    <row r="693" spans="1:81" ht="12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  <c r="AU693" s="110"/>
      <c r="AV693" s="110"/>
      <c r="AW693" s="110"/>
      <c r="AX693" s="110"/>
      <c r="AY693" s="110"/>
      <c r="AZ693" s="110"/>
      <c r="BA693" s="110"/>
      <c r="BB693" s="110"/>
      <c r="BC693" s="110"/>
      <c r="BD693" s="110"/>
      <c r="BE693" s="110"/>
      <c r="BF693" s="110"/>
      <c r="BG693" s="110"/>
      <c r="BH693" s="110"/>
      <c r="BI693" s="110"/>
      <c r="BJ693" s="110"/>
      <c r="BK693" s="110"/>
      <c r="BL693" s="110"/>
      <c r="BM693" s="110"/>
      <c r="BN693" s="110"/>
      <c r="BO693" s="110"/>
      <c r="BP693" s="110"/>
      <c r="BQ693" s="110"/>
      <c r="BR693" s="110"/>
      <c r="BS693" s="110"/>
      <c r="BT693" s="110"/>
      <c r="BU693" s="110"/>
      <c r="BV693" s="110"/>
      <c r="BW693" s="110"/>
      <c r="BX693" s="110"/>
      <c r="BY693" s="110"/>
      <c r="BZ693" s="110"/>
      <c r="CA693" s="110"/>
      <c r="CB693" s="110"/>
      <c r="CC693" s="110"/>
    </row>
    <row r="694" spans="1:81" ht="12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  <c r="AU694" s="110"/>
      <c r="AV694" s="110"/>
      <c r="AW694" s="110"/>
      <c r="AX694" s="110"/>
      <c r="AY694" s="110"/>
      <c r="AZ694" s="110"/>
      <c r="BA694" s="110"/>
      <c r="BB694" s="110"/>
      <c r="BC694" s="110"/>
      <c r="BD694" s="110"/>
      <c r="BE694" s="110"/>
      <c r="BF694" s="110"/>
      <c r="BG694" s="110"/>
      <c r="BH694" s="110"/>
      <c r="BI694" s="110"/>
      <c r="BJ694" s="110"/>
      <c r="BK694" s="110"/>
      <c r="BL694" s="110"/>
      <c r="BM694" s="110"/>
      <c r="BN694" s="110"/>
      <c r="BO694" s="110"/>
      <c r="BP694" s="110"/>
      <c r="BQ694" s="110"/>
      <c r="BR694" s="110"/>
      <c r="BS694" s="110"/>
      <c r="BT694" s="110"/>
      <c r="BU694" s="110"/>
      <c r="BV694" s="110"/>
      <c r="BW694" s="110"/>
      <c r="BX694" s="110"/>
      <c r="BY694" s="110"/>
      <c r="BZ694" s="110"/>
      <c r="CA694" s="110"/>
      <c r="CB694" s="110"/>
      <c r="CC694" s="110"/>
    </row>
    <row r="695" spans="1:81" ht="12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  <c r="AU695" s="110"/>
      <c r="AV695" s="110"/>
      <c r="AW695" s="110"/>
      <c r="AX695" s="110"/>
      <c r="AY695" s="110"/>
      <c r="AZ695" s="110"/>
      <c r="BA695" s="110"/>
      <c r="BB695" s="110"/>
      <c r="BC695" s="110"/>
      <c r="BD695" s="110"/>
      <c r="BE695" s="110"/>
      <c r="BF695" s="110"/>
      <c r="BG695" s="110"/>
      <c r="BH695" s="110"/>
      <c r="BI695" s="110"/>
      <c r="BJ695" s="110"/>
      <c r="BK695" s="110"/>
      <c r="BL695" s="110"/>
      <c r="BM695" s="110"/>
      <c r="BN695" s="110"/>
      <c r="BO695" s="110"/>
      <c r="BP695" s="110"/>
      <c r="BQ695" s="110"/>
      <c r="BR695" s="110"/>
      <c r="BS695" s="110"/>
      <c r="BT695" s="110"/>
      <c r="BU695" s="110"/>
      <c r="BV695" s="110"/>
      <c r="BW695" s="110"/>
      <c r="BX695" s="110"/>
      <c r="BY695" s="110"/>
      <c r="BZ695" s="110"/>
      <c r="CA695" s="110"/>
      <c r="CB695" s="110"/>
      <c r="CC695" s="110"/>
    </row>
    <row r="696" spans="1:81" ht="12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  <c r="AU696" s="110"/>
      <c r="AV696" s="110"/>
      <c r="AW696" s="110"/>
      <c r="AX696" s="110"/>
      <c r="AY696" s="110"/>
      <c r="AZ696" s="110"/>
      <c r="BA696" s="110"/>
      <c r="BB696" s="110"/>
      <c r="BC696" s="110"/>
      <c r="BD696" s="110"/>
      <c r="BE696" s="110"/>
      <c r="BF696" s="110"/>
      <c r="BG696" s="110"/>
      <c r="BH696" s="110"/>
      <c r="BI696" s="110"/>
      <c r="BJ696" s="110"/>
      <c r="BK696" s="110"/>
      <c r="BL696" s="110"/>
      <c r="BM696" s="110"/>
      <c r="BN696" s="110"/>
      <c r="BO696" s="110"/>
      <c r="BP696" s="110"/>
      <c r="BQ696" s="110"/>
      <c r="BR696" s="110"/>
      <c r="BS696" s="110"/>
      <c r="BT696" s="110"/>
      <c r="BU696" s="110"/>
      <c r="BV696" s="110"/>
      <c r="BW696" s="110"/>
      <c r="BX696" s="110"/>
      <c r="BY696" s="110"/>
      <c r="BZ696" s="110"/>
      <c r="CA696" s="110"/>
      <c r="CB696" s="110"/>
      <c r="CC696" s="110"/>
    </row>
    <row r="697" spans="1:81" ht="12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  <c r="AU697" s="110"/>
      <c r="AV697" s="110"/>
      <c r="AW697" s="110"/>
      <c r="AX697" s="110"/>
      <c r="AY697" s="110"/>
      <c r="AZ697" s="110"/>
      <c r="BA697" s="110"/>
      <c r="BB697" s="110"/>
      <c r="BC697" s="110"/>
      <c r="BD697" s="110"/>
      <c r="BE697" s="110"/>
      <c r="BF697" s="110"/>
      <c r="BG697" s="110"/>
      <c r="BH697" s="110"/>
      <c r="BI697" s="110"/>
      <c r="BJ697" s="110"/>
      <c r="BK697" s="110"/>
      <c r="BL697" s="110"/>
      <c r="BM697" s="110"/>
      <c r="BN697" s="110"/>
      <c r="BO697" s="110"/>
      <c r="BP697" s="110"/>
      <c r="BQ697" s="110"/>
      <c r="BR697" s="110"/>
      <c r="BS697" s="110"/>
      <c r="BT697" s="110"/>
      <c r="BU697" s="110"/>
      <c r="BV697" s="110"/>
      <c r="BW697" s="110"/>
      <c r="BX697" s="110"/>
      <c r="BY697" s="110"/>
      <c r="BZ697" s="110"/>
      <c r="CA697" s="110"/>
      <c r="CB697" s="110"/>
      <c r="CC697" s="110"/>
    </row>
    <row r="698" spans="1:81" ht="12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  <c r="AU698" s="110"/>
      <c r="AV698" s="110"/>
      <c r="AW698" s="110"/>
      <c r="AX698" s="110"/>
      <c r="AY698" s="110"/>
      <c r="AZ698" s="110"/>
      <c r="BA698" s="110"/>
      <c r="BB698" s="110"/>
      <c r="BC698" s="110"/>
      <c r="BD698" s="110"/>
      <c r="BE698" s="110"/>
      <c r="BF698" s="110"/>
      <c r="BG698" s="110"/>
      <c r="BH698" s="110"/>
      <c r="BI698" s="110"/>
      <c r="BJ698" s="110"/>
      <c r="BK698" s="110"/>
      <c r="BL698" s="110"/>
      <c r="BM698" s="110"/>
      <c r="BN698" s="110"/>
      <c r="BO698" s="110"/>
      <c r="BP698" s="110"/>
      <c r="BQ698" s="110"/>
      <c r="BR698" s="110"/>
      <c r="BS698" s="110"/>
      <c r="BT698" s="110"/>
      <c r="BU698" s="110"/>
      <c r="BV698" s="110"/>
      <c r="BW698" s="110"/>
      <c r="BX698" s="110"/>
      <c r="BY698" s="110"/>
      <c r="BZ698" s="110"/>
      <c r="CA698" s="110"/>
      <c r="CB698" s="110"/>
      <c r="CC698" s="110"/>
    </row>
    <row r="699" spans="1:81" ht="12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  <c r="AU699" s="110"/>
      <c r="AV699" s="110"/>
      <c r="AW699" s="110"/>
      <c r="AX699" s="110"/>
      <c r="AY699" s="110"/>
      <c r="AZ699" s="110"/>
      <c r="BA699" s="110"/>
      <c r="BB699" s="110"/>
      <c r="BC699" s="110"/>
      <c r="BD699" s="110"/>
      <c r="BE699" s="110"/>
      <c r="BF699" s="110"/>
      <c r="BG699" s="110"/>
      <c r="BH699" s="110"/>
      <c r="BI699" s="110"/>
      <c r="BJ699" s="110"/>
      <c r="BK699" s="110"/>
      <c r="BL699" s="110"/>
      <c r="BM699" s="110"/>
      <c r="BN699" s="110"/>
      <c r="BO699" s="110"/>
      <c r="BP699" s="110"/>
      <c r="BQ699" s="110"/>
      <c r="BR699" s="110"/>
      <c r="BS699" s="110"/>
      <c r="BT699" s="110"/>
      <c r="BU699" s="110"/>
      <c r="BV699" s="110"/>
      <c r="BW699" s="110"/>
      <c r="BX699" s="110"/>
      <c r="BY699" s="110"/>
      <c r="BZ699" s="110"/>
      <c r="CA699" s="110"/>
      <c r="CB699" s="110"/>
      <c r="CC699" s="110"/>
    </row>
    <row r="700" spans="1:81" ht="12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  <c r="AU700" s="110"/>
      <c r="AV700" s="110"/>
      <c r="AW700" s="110"/>
      <c r="AX700" s="110"/>
      <c r="AY700" s="110"/>
      <c r="AZ700" s="110"/>
      <c r="BA700" s="110"/>
      <c r="BB700" s="110"/>
      <c r="BC700" s="110"/>
      <c r="BD700" s="110"/>
      <c r="BE700" s="110"/>
      <c r="BF700" s="110"/>
      <c r="BG700" s="110"/>
      <c r="BH700" s="110"/>
      <c r="BI700" s="110"/>
      <c r="BJ700" s="110"/>
      <c r="BK700" s="110"/>
      <c r="BL700" s="110"/>
      <c r="BM700" s="110"/>
      <c r="BN700" s="110"/>
      <c r="BO700" s="110"/>
      <c r="BP700" s="110"/>
      <c r="BQ700" s="110"/>
      <c r="BR700" s="110"/>
      <c r="BS700" s="110"/>
      <c r="BT700" s="110"/>
      <c r="BU700" s="110"/>
      <c r="BV700" s="110"/>
      <c r="BW700" s="110"/>
      <c r="BX700" s="110"/>
      <c r="BY700" s="110"/>
      <c r="BZ700" s="110"/>
      <c r="CA700" s="110"/>
      <c r="CB700" s="110"/>
      <c r="CC700" s="110"/>
    </row>
    <row r="701" spans="1:81" ht="12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  <c r="AU701" s="110"/>
      <c r="AV701" s="110"/>
      <c r="AW701" s="110"/>
      <c r="AX701" s="110"/>
      <c r="AY701" s="110"/>
      <c r="AZ701" s="110"/>
      <c r="BA701" s="110"/>
      <c r="BB701" s="110"/>
      <c r="BC701" s="110"/>
      <c r="BD701" s="110"/>
      <c r="BE701" s="110"/>
      <c r="BF701" s="110"/>
      <c r="BG701" s="110"/>
      <c r="BH701" s="110"/>
      <c r="BI701" s="110"/>
      <c r="BJ701" s="110"/>
      <c r="BK701" s="110"/>
      <c r="BL701" s="110"/>
      <c r="BM701" s="110"/>
      <c r="BN701" s="110"/>
      <c r="BO701" s="110"/>
      <c r="BP701" s="110"/>
      <c r="BQ701" s="110"/>
      <c r="BR701" s="110"/>
      <c r="BS701" s="110"/>
      <c r="BT701" s="110"/>
      <c r="BU701" s="110"/>
      <c r="BV701" s="110"/>
      <c r="BW701" s="110"/>
      <c r="BX701" s="110"/>
      <c r="BY701" s="110"/>
      <c r="BZ701" s="110"/>
      <c r="CA701" s="110"/>
      <c r="CB701" s="110"/>
      <c r="CC701" s="110"/>
    </row>
    <row r="702" spans="1:81" ht="12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  <c r="AU702" s="110"/>
      <c r="AV702" s="110"/>
      <c r="AW702" s="110"/>
      <c r="AX702" s="110"/>
      <c r="AY702" s="110"/>
      <c r="AZ702" s="110"/>
      <c r="BA702" s="110"/>
      <c r="BB702" s="110"/>
      <c r="BC702" s="110"/>
      <c r="BD702" s="110"/>
      <c r="BE702" s="110"/>
      <c r="BF702" s="110"/>
      <c r="BG702" s="110"/>
      <c r="BH702" s="110"/>
      <c r="BI702" s="110"/>
      <c r="BJ702" s="110"/>
      <c r="BK702" s="110"/>
      <c r="BL702" s="110"/>
      <c r="BM702" s="110"/>
      <c r="BN702" s="110"/>
      <c r="BO702" s="110"/>
      <c r="BP702" s="110"/>
      <c r="BQ702" s="110"/>
      <c r="BR702" s="110"/>
      <c r="BS702" s="110"/>
      <c r="BT702" s="110"/>
      <c r="BU702" s="110"/>
      <c r="BV702" s="110"/>
      <c r="BW702" s="110"/>
      <c r="BX702" s="110"/>
      <c r="BY702" s="110"/>
      <c r="BZ702" s="110"/>
      <c r="CA702" s="110"/>
      <c r="CB702" s="110"/>
      <c r="CC702" s="110"/>
    </row>
    <row r="703" spans="1:81" ht="12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  <c r="AS703" s="110"/>
      <c r="AT703" s="110"/>
      <c r="AU703" s="110"/>
      <c r="AV703" s="110"/>
      <c r="AW703" s="110"/>
      <c r="AX703" s="110"/>
      <c r="AY703" s="110"/>
      <c r="AZ703" s="110"/>
      <c r="BA703" s="110"/>
      <c r="BB703" s="110"/>
      <c r="BC703" s="110"/>
      <c r="BD703" s="110"/>
      <c r="BE703" s="110"/>
      <c r="BF703" s="110"/>
      <c r="BG703" s="110"/>
      <c r="BH703" s="110"/>
      <c r="BI703" s="110"/>
      <c r="BJ703" s="110"/>
      <c r="BK703" s="110"/>
      <c r="BL703" s="110"/>
      <c r="BM703" s="110"/>
      <c r="BN703" s="110"/>
      <c r="BO703" s="110"/>
      <c r="BP703" s="110"/>
      <c r="BQ703" s="110"/>
      <c r="BR703" s="110"/>
      <c r="BS703" s="110"/>
      <c r="BT703" s="110"/>
      <c r="BU703" s="110"/>
      <c r="BV703" s="110"/>
      <c r="BW703" s="110"/>
      <c r="BX703" s="110"/>
      <c r="BY703" s="110"/>
      <c r="BZ703" s="110"/>
      <c r="CA703" s="110"/>
      <c r="CB703" s="110"/>
      <c r="CC703" s="110"/>
    </row>
    <row r="704" spans="1:81" ht="12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  <c r="AS704" s="110"/>
      <c r="AT704" s="110"/>
      <c r="AU704" s="110"/>
      <c r="AV704" s="110"/>
      <c r="AW704" s="110"/>
      <c r="AX704" s="110"/>
      <c r="AY704" s="110"/>
      <c r="AZ704" s="110"/>
      <c r="BA704" s="110"/>
      <c r="BB704" s="110"/>
      <c r="BC704" s="110"/>
      <c r="BD704" s="110"/>
      <c r="BE704" s="110"/>
      <c r="BF704" s="110"/>
      <c r="BG704" s="110"/>
      <c r="BH704" s="110"/>
      <c r="BI704" s="110"/>
      <c r="BJ704" s="110"/>
      <c r="BK704" s="110"/>
      <c r="BL704" s="110"/>
      <c r="BM704" s="110"/>
      <c r="BN704" s="110"/>
      <c r="BO704" s="110"/>
      <c r="BP704" s="110"/>
      <c r="BQ704" s="110"/>
      <c r="BR704" s="110"/>
      <c r="BS704" s="110"/>
      <c r="BT704" s="110"/>
      <c r="BU704" s="110"/>
      <c r="BV704" s="110"/>
      <c r="BW704" s="110"/>
      <c r="BX704" s="110"/>
      <c r="BY704" s="110"/>
      <c r="BZ704" s="110"/>
      <c r="CA704" s="110"/>
      <c r="CB704" s="110"/>
      <c r="CC704" s="110"/>
    </row>
    <row r="705" spans="1:81" ht="12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  <c r="AS705" s="110"/>
      <c r="AT705" s="110"/>
      <c r="AU705" s="110"/>
      <c r="AV705" s="110"/>
      <c r="AW705" s="110"/>
      <c r="AX705" s="110"/>
      <c r="AY705" s="110"/>
      <c r="AZ705" s="110"/>
      <c r="BA705" s="110"/>
      <c r="BB705" s="110"/>
      <c r="BC705" s="110"/>
      <c r="BD705" s="110"/>
      <c r="BE705" s="110"/>
      <c r="BF705" s="110"/>
      <c r="BG705" s="110"/>
      <c r="BH705" s="110"/>
      <c r="BI705" s="110"/>
      <c r="BJ705" s="110"/>
      <c r="BK705" s="110"/>
      <c r="BL705" s="110"/>
      <c r="BM705" s="110"/>
      <c r="BN705" s="110"/>
      <c r="BO705" s="110"/>
      <c r="BP705" s="110"/>
      <c r="BQ705" s="110"/>
      <c r="BR705" s="110"/>
      <c r="BS705" s="110"/>
      <c r="BT705" s="110"/>
      <c r="BU705" s="110"/>
      <c r="BV705" s="110"/>
      <c r="BW705" s="110"/>
      <c r="BX705" s="110"/>
      <c r="BY705" s="110"/>
      <c r="BZ705" s="110"/>
      <c r="CA705" s="110"/>
      <c r="CB705" s="110"/>
      <c r="CC705" s="110"/>
    </row>
    <row r="706" spans="1:81" ht="12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  <c r="AS706" s="110"/>
      <c r="AT706" s="110"/>
      <c r="AU706" s="110"/>
      <c r="AV706" s="110"/>
      <c r="AW706" s="110"/>
      <c r="AX706" s="110"/>
      <c r="AY706" s="110"/>
      <c r="AZ706" s="110"/>
      <c r="BA706" s="110"/>
      <c r="BB706" s="110"/>
      <c r="BC706" s="110"/>
      <c r="BD706" s="110"/>
      <c r="BE706" s="110"/>
      <c r="BF706" s="110"/>
      <c r="BG706" s="110"/>
      <c r="BH706" s="110"/>
      <c r="BI706" s="110"/>
      <c r="BJ706" s="110"/>
      <c r="BK706" s="110"/>
      <c r="BL706" s="110"/>
      <c r="BM706" s="110"/>
      <c r="BN706" s="110"/>
      <c r="BO706" s="110"/>
      <c r="BP706" s="110"/>
      <c r="BQ706" s="110"/>
      <c r="BR706" s="110"/>
      <c r="BS706" s="110"/>
      <c r="BT706" s="110"/>
      <c r="BU706" s="110"/>
      <c r="BV706" s="110"/>
      <c r="BW706" s="110"/>
      <c r="BX706" s="110"/>
      <c r="BY706" s="110"/>
      <c r="BZ706" s="110"/>
      <c r="CA706" s="110"/>
      <c r="CB706" s="110"/>
      <c r="CC706" s="110"/>
    </row>
    <row r="707" spans="1:81" ht="12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  <c r="AS707" s="110"/>
      <c r="AT707" s="110"/>
      <c r="AU707" s="110"/>
      <c r="AV707" s="110"/>
      <c r="AW707" s="110"/>
      <c r="AX707" s="110"/>
      <c r="AY707" s="110"/>
      <c r="AZ707" s="110"/>
      <c r="BA707" s="110"/>
      <c r="BB707" s="110"/>
      <c r="BC707" s="110"/>
      <c r="BD707" s="110"/>
      <c r="BE707" s="110"/>
      <c r="BF707" s="110"/>
      <c r="BG707" s="110"/>
      <c r="BH707" s="110"/>
      <c r="BI707" s="110"/>
      <c r="BJ707" s="110"/>
      <c r="BK707" s="110"/>
      <c r="BL707" s="110"/>
      <c r="BM707" s="110"/>
      <c r="BN707" s="110"/>
      <c r="BO707" s="110"/>
      <c r="BP707" s="110"/>
      <c r="BQ707" s="110"/>
      <c r="BR707" s="110"/>
      <c r="BS707" s="110"/>
      <c r="BT707" s="110"/>
      <c r="BU707" s="110"/>
      <c r="BV707" s="110"/>
      <c r="BW707" s="110"/>
      <c r="BX707" s="110"/>
      <c r="BY707" s="110"/>
      <c r="BZ707" s="110"/>
      <c r="CA707" s="110"/>
      <c r="CB707" s="110"/>
      <c r="CC707" s="110"/>
    </row>
    <row r="708" spans="1:81" ht="12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  <c r="AS708" s="110"/>
      <c r="AT708" s="110"/>
      <c r="AU708" s="110"/>
      <c r="AV708" s="110"/>
      <c r="AW708" s="110"/>
      <c r="AX708" s="110"/>
      <c r="AY708" s="110"/>
      <c r="AZ708" s="110"/>
      <c r="BA708" s="110"/>
      <c r="BB708" s="110"/>
      <c r="BC708" s="110"/>
      <c r="BD708" s="110"/>
      <c r="BE708" s="110"/>
      <c r="BF708" s="110"/>
      <c r="BG708" s="110"/>
      <c r="BH708" s="110"/>
      <c r="BI708" s="110"/>
      <c r="BJ708" s="110"/>
      <c r="BK708" s="110"/>
      <c r="BL708" s="110"/>
      <c r="BM708" s="110"/>
      <c r="BN708" s="110"/>
      <c r="BO708" s="110"/>
      <c r="BP708" s="110"/>
      <c r="BQ708" s="110"/>
      <c r="BR708" s="110"/>
      <c r="BS708" s="110"/>
      <c r="BT708" s="110"/>
      <c r="BU708" s="110"/>
      <c r="BV708" s="110"/>
      <c r="BW708" s="110"/>
      <c r="BX708" s="110"/>
      <c r="BY708" s="110"/>
      <c r="BZ708" s="110"/>
      <c r="CA708" s="110"/>
      <c r="CB708" s="110"/>
      <c r="CC708" s="110"/>
    </row>
    <row r="709" spans="1:81" ht="12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  <c r="AS709" s="110"/>
      <c r="AT709" s="110"/>
      <c r="AU709" s="110"/>
      <c r="AV709" s="110"/>
      <c r="AW709" s="110"/>
      <c r="AX709" s="110"/>
      <c r="AY709" s="110"/>
      <c r="AZ709" s="110"/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</row>
    <row r="710" spans="1:81" ht="12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  <c r="AS710" s="110"/>
      <c r="AT710" s="110"/>
      <c r="AU710" s="110"/>
      <c r="AV710" s="110"/>
      <c r="AW710" s="110"/>
      <c r="AX710" s="110"/>
      <c r="AY710" s="110"/>
      <c r="AZ710" s="110"/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</row>
    <row r="711" spans="1:81" ht="12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  <c r="AU711" s="110"/>
      <c r="AV711" s="110"/>
      <c r="AW711" s="110"/>
      <c r="AX711" s="110"/>
      <c r="AY711" s="110"/>
      <c r="AZ711" s="110"/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</row>
    <row r="712" spans="1:81" ht="12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  <c r="AU712" s="110"/>
      <c r="AV712" s="110"/>
      <c r="AW712" s="110"/>
      <c r="AX712" s="110"/>
      <c r="AY712" s="110"/>
      <c r="AZ712" s="110"/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</row>
    <row r="713" spans="1:81" ht="12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  <c r="AU713" s="110"/>
      <c r="AV713" s="110"/>
      <c r="AW713" s="110"/>
      <c r="AX713" s="110"/>
      <c r="AY713" s="110"/>
      <c r="AZ713" s="110"/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</row>
    <row r="714" spans="1:81" ht="12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0"/>
      <c r="AW714" s="110"/>
      <c r="AX714" s="110"/>
      <c r="AY714" s="110"/>
      <c r="AZ714" s="110"/>
      <c r="BA714" s="110"/>
      <c r="BB714" s="110"/>
      <c r="BC714" s="110"/>
      <c r="BD714" s="110"/>
      <c r="BE714" s="110"/>
      <c r="BF714" s="110"/>
      <c r="BG714" s="110"/>
      <c r="BH714" s="110"/>
      <c r="BI714" s="110"/>
      <c r="BJ714" s="110"/>
      <c r="BK714" s="110"/>
      <c r="BL714" s="110"/>
      <c r="BM714" s="110"/>
      <c r="BN714" s="110"/>
      <c r="BO714" s="110"/>
      <c r="BP714" s="110"/>
      <c r="BQ714" s="110"/>
      <c r="BR714" s="110"/>
      <c r="BS714" s="110"/>
      <c r="BT714" s="110"/>
      <c r="BU714" s="110"/>
      <c r="BV714" s="110"/>
      <c r="BW714" s="110"/>
      <c r="BX714" s="110"/>
      <c r="BY714" s="110"/>
      <c r="BZ714" s="110"/>
      <c r="CA714" s="110"/>
      <c r="CB714" s="110"/>
      <c r="CC714" s="110"/>
    </row>
    <row r="715" spans="1:81" ht="12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  <c r="AU715" s="110"/>
      <c r="AV715" s="110"/>
      <c r="AW715" s="110"/>
      <c r="AX715" s="110"/>
      <c r="AY715" s="110"/>
      <c r="AZ715" s="110"/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</row>
    <row r="716" spans="1:81" ht="12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  <c r="AU716" s="110"/>
      <c r="AV716" s="110"/>
      <c r="AW716" s="110"/>
      <c r="AX716" s="110"/>
      <c r="AY716" s="110"/>
      <c r="AZ716" s="110"/>
      <c r="BA716" s="110"/>
      <c r="BB716" s="110"/>
      <c r="BC716" s="110"/>
      <c r="BD716" s="110"/>
      <c r="BE716" s="110"/>
      <c r="BF716" s="110"/>
      <c r="BG716" s="110"/>
      <c r="BH716" s="110"/>
      <c r="BI716" s="110"/>
      <c r="BJ716" s="110"/>
      <c r="BK716" s="110"/>
      <c r="BL716" s="110"/>
      <c r="BM716" s="110"/>
      <c r="BN716" s="110"/>
      <c r="BO716" s="110"/>
      <c r="BP716" s="110"/>
      <c r="BQ716" s="110"/>
      <c r="BR716" s="110"/>
      <c r="BS716" s="110"/>
      <c r="BT716" s="110"/>
      <c r="BU716" s="110"/>
      <c r="BV716" s="110"/>
      <c r="BW716" s="110"/>
      <c r="BX716" s="110"/>
      <c r="BY716" s="110"/>
      <c r="BZ716" s="110"/>
      <c r="CA716" s="110"/>
      <c r="CB716" s="110"/>
      <c r="CC716" s="110"/>
    </row>
    <row r="717" spans="1:81" ht="12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  <c r="AU717" s="110"/>
      <c r="AV717" s="110"/>
      <c r="AW717" s="110"/>
      <c r="AX717" s="110"/>
      <c r="AY717" s="110"/>
      <c r="AZ717" s="110"/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</row>
    <row r="718" spans="1:81" ht="12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  <c r="AU718" s="110"/>
      <c r="AV718" s="110"/>
      <c r="AW718" s="110"/>
      <c r="AX718" s="110"/>
      <c r="AY718" s="110"/>
      <c r="AZ718" s="110"/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</row>
    <row r="719" spans="1:81" ht="12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  <c r="AS719" s="110"/>
      <c r="AT719" s="110"/>
      <c r="AU719" s="110"/>
      <c r="AV719" s="110"/>
      <c r="AW719" s="110"/>
      <c r="AX719" s="110"/>
      <c r="AY719" s="110"/>
      <c r="AZ719" s="110"/>
      <c r="BA719" s="110"/>
      <c r="BB719" s="110"/>
      <c r="BC719" s="110"/>
      <c r="BD719" s="110"/>
      <c r="BE719" s="110"/>
      <c r="BF719" s="110"/>
      <c r="BG719" s="110"/>
      <c r="BH719" s="110"/>
      <c r="BI719" s="110"/>
      <c r="BJ719" s="110"/>
      <c r="BK719" s="110"/>
      <c r="BL719" s="110"/>
      <c r="BM719" s="110"/>
      <c r="BN719" s="110"/>
      <c r="BO719" s="110"/>
      <c r="BP719" s="110"/>
      <c r="BQ719" s="110"/>
      <c r="BR719" s="110"/>
      <c r="BS719" s="110"/>
      <c r="BT719" s="110"/>
      <c r="BU719" s="110"/>
      <c r="BV719" s="110"/>
      <c r="BW719" s="110"/>
      <c r="BX719" s="110"/>
      <c r="BY719" s="110"/>
      <c r="BZ719" s="110"/>
      <c r="CA719" s="110"/>
      <c r="CB719" s="110"/>
      <c r="CC719" s="110"/>
    </row>
    <row r="720" spans="1:81" ht="12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  <c r="AU720" s="110"/>
      <c r="AV720" s="110"/>
      <c r="AW720" s="110"/>
      <c r="AX720" s="110"/>
      <c r="AY720" s="110"/>
      <c r="AZ720" s="110"/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</row>
    <row r="721" spans="1:81" ht="12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  <c r="AU721" s="110"/>
      <c r="AV721" s="110"/>
      <c r="AW721" s="110"/>
      <c r="AX721" s="110"/>
      <c r="AY721" s="110"/>
      <c r="AZ721" s="110"/>
      <c r="BA721" s="110"/>
      <c r="BB721" s="110"/>
      <c r="BC721" s="110"/>
      <c r="BD721" s="110"/>
      <c r="BE721" s="110"/>
      <c r="BF721" s="110"/>
      <c r="BG721" s="110"/>
      <c r="BH721" s="110"/>
      <c r="BI721" s="110"/>
      <c r="BJ721" s="110"/>
      <c r="BK721" s="110"/>
      <c r="BL721" s="110"/>
      <c r="BM721" s="110"/>
      <c r="BN721" s="110"/>
      <c r="BO721" s="110"/>
      <c r="BP721" s="110"/>
      <c r="BQ721" s="110"/>
      <c r="BR721" s="110"/>
      <c r="BS721" s="110"/>
      <c r="BT721" s="110"/>
      <c r="BU721" s="110"/>
      <c r="BV721" s="110"/>
      <c r="BW721" s="110"/>
      <c r="BX721" s="110"/>
      <c r="BY721" s="110"/>
      <c r="BZ721" s="110"/>
      <c r="CA721" s="110"/>
      <c r="CB721" s="110"/>
      <c r="CC721" s="110"/>
    </row>
    <row r="722" spans="1:81" ht="12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  <c r="AU722" s="110"/>
      <c r="AV722" s="110"/>
      <c r="AW722" s="110"/>
      <c r="AX722" s="110"/>
      <c r="AY722" s="110"/>
      <c r="AZ722" s="110"/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</row>
    <row r="723" spans="1:81" ht="12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  <c r="AU723" s="110"/>
      <c r="AV723" s="110"/>
      <c r="AW723" s="110"/>
      <c r="AX723" s="110"/>
      <c r="AY723" s="110"/>
      <c r="AZ723" s="110"/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</row>
    <row r="724" spans="1:81" ht="12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  <c r="AU724" s="110"/>
      <c r="AV724" s="110"/>
      <c r="AW724" s="110"/>
      <c r="AX724" s="110"/>
      <c r="AY724" s="110"/>
      <c r="AZ724" s="110"/>
      <c r="BA724" s="110"/>
      <c r="BB724" s="110"/>
      <c r="BC724" s="110"/>
      <c r="BD724" s="110"/>
      <c r="BE724" s="110"/>
      <c r="BF724" s="110"/>
      <c r="BG724" s="110"/>
      <c r="BH724" s="110"/>
      <c r="BI724" s="110"/>
      <c r="BJ724" s="110"/>
      <c r="BK724" s="110"/>
      <c r="BL724" s="110"/>
      <c r="BM724" s="110"/>
      <c r="BN724" s="110"/>
      <c r="BO724" s="110"/>
      <c r="BP724" s="110"/>
      <c r="BQ724" s="110"/>
      <c r="BR724" s="110"/>
      <c r="BS724" s="110"/>
      <c r="BT724" s="110"/>
      <c r="BU724" s="110"/>
      <c r="BV724" s="110"/>
      <c r="BW724" s="110"/>
      <c r="BX724" s="110"/>
      <c r="BY724" s="110"/>
      <c r="BZ724" s="110"/>
      <c r="CA724" s="110"/>
      <c r="CB724" s="110"/>
      <c r="CC724" s="110"/>
    </row>
    <row r="725" spans="1:81" ht="12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0"/>
      <c r="AW725" s="110"/>
      <c r="AX725" s="110"/>
      <c r="AY725" s="110"/>
      <c r="AZ725" s="110"/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</row>
    <row r="726" spans="1:81" ht="12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  <c r="AU726" s="110"/>
      <c r="AV726" s="110"/>
      <c r="AW726" s="110"/>
      <c r="AX726" s="110"/>
      <c r="AY726" s="110"/>
      <c r="AZ726" s="110"/>
      <c r="BA726" s="110"/>
      <c r="BB726" s="110"/>
      <c r="BC726" s="110"/>
      <c r="BD726" s="110"/>
      <c r="BE726" s="110"/>
      <c r="BF726" s="110"/>
      <c r="BG726" s="110"/>
      <c r="BH726" s="110"/>
      <c r="BI726" s="110"/>
      <c r="BJ726" s="110"/>
      <c r="BK726" s="110"/>
      <c r="BL726" s="110"/>
      <c r="BM726" s="110"/>
      <c r="BN726" s="110"/>
      <c r="BO726" s="110"/>
      <c r="BP726" s="110"/>
      <c r="BQ726" s="110"/>
      <c r="BR726" s="110"/>
      <c r="BS726" s="110"/>
      <c r="BT726" s="110"/>
      <c r="BU726" s="110"/>
      <c r="BV726" s="110"/>
      <c r="BW726" s="110"/>
      <c r="BX726" s="110"/>
      <c r="BY726" s="110"/>
      <c r="BZ726" s="110"/>
      <c r="CA726" s="110"/>
      <c r="CB726" s="110"/>
      <c r="CC726" s="110"/>
    </row>
    <row r="727" spans="1:81" ht="12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  <c r="AU727" s="110"/>
      <c r="AV727" s="110"/>
      <c r="AW727" s="110"/>
      <c r="AX727" s="110"/>
      <c r="AY727" s="110"/>
      <c r="AZ727" s="110"/>
      <c r="BA727" s="110"/>
      <c r="BB727" s="110"/>
      <c r="BC727" s="110"/>
      <c r="BD727" s="110"/>
      <c r="BE727" s="110"/>
      <c r="BF727" s="110"/>
      <c r="BG727" s="110"/>
      <c r="BH727" s="110"/>
      <c r="BI727" s="110"/>
      <c r="BJ727" s="110"/>
      <c r="BK727" s="110"/>
      <c r="BL727" s="110"/>
      <c r="BM727" s="110"/>
      <c r="BN727" s="110"/>
      <c r="BO727" s="110"/>
      <c r="BP727" s="110"/>
      <c r="BQ727" s="110"/>
      <c r="BR727" s="110"/>
      <c r="BS727" s="110"/>
      <c r="BT727" s="110"/>
      <c r="BU727" s="110"/>
      <c r="BV727" s="110"/>
      <c r="BW727" s="110"/>
      <c r="BX727" s="110"/>
      <c r="BY727" s="110"/>
      <c r="BZ727" s="110"/>
      <c r="CA727" s="110"/>
      <c r="CB727" s="110"/>
      <c r="CC727" s="110"/>
    </row>
    <row r="728" spans="1:81" ht="12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  <c r="AU728" s="110"/>
      <c r="AV728" s="110"/>
      <c r="AW728" s="110"/>
      <c r="AX728" s="110"/>
      <c r="AY728" s="110"/>
      <c r="AZ728" s="110"/>
      <c r="BA728" s="110"/>
      <c r="BB728" s="110"/>
      <c r="BC728" s="110"/>
      <c r="BD728" s="110"/>
      <c r="BE728" s="110"/>
      <c r="BF728" s="110"/>
      <c r="BG728" s="110"/>
      <c r="BH728" s="110"/>
      <c r="BI728" s="110"/>
      <c r="BJ728" s="110"/>
      <c r="BK728" s="110"/>
      <c r="BL728" s="110"/>
      <c r="BM728" s="110"/>
      <c r="BN728" s="110"/>
      <c r="BO728" s="110"/>
      <c r="BP728" s="110"/>
      <c r="BQ728" s="110"/>
      <c r="BR728" s="110"/>
      <c r="BS728" s="110"/>
      <c r="BT728" s="110"/>
      <c r="BU728" s="110"/>
      <c r="BV728" s="110"/>
      <c r="BW728" s="110"/>
      <c r="BX728" s="110"/>
      <c r="BY728" s="110"/>
      <c r="BZ728" s="110"/>
      <c r="CA728" s="110"/>
      <c r="CB728" s="110"/>
      <c r="CC728" s="110"/>
    </row>
    <row r="729" spans="1:81" ht="12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  <c r="AU729" s="110"/>
      <c r="AV729" s="110"/>
      <c r="AW729" s="110"/>
      <c r="AX729" s="110"/>
      <c r="AY729" s="110"/>
      <c r="AZ729" s="110"/>
      <c r="BA729" s="110"/>
      <c r="BB729" s="110"/>
      <c r="BC729" s="110"/>
      <c r="BD729" s="110"/>
      <c r="BE729" s="110"/>
      <c r="BF729" s="110"/>
      <c r="BG729" s="110"/>
      <c r="BH729" s="110"/>
      <c r="BI729" s="110"/>
      <c r="BJ729" s="110"/>
      <c r="BK729" s="110"/>
      <c r="BL729" s="110"/>
      <c r="BM729" s="110"/>
      <c r="BN729" s="110"/>
      <c r="BO729" s="110"/>
      <c r="BP729" s="110"/>
      <c r="BQ729" s="110"/>
      <c r="BR729" s="110"/>
      <c r="BS729" s="110"/>
      <c r="BT729" s="110"/>
      <c r="BU729" s="110"/>
      <c r="BV729" s="110"/>
      <c r="BW729" s="110"/>
      <c r="BX729" s="110"/>
      <c r="BY729" s="110"/>
      <c r="BZ729" s="110"/>
      <c r="CA729" s="110"/>
      <c r="CB729" s="110"/>
      <c r="CC729" s="110"/>
    </row>
    <row r="730" spans="1:81" ht="12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  <c r="AU730" s="110"/>
      <c r="AV730" s="110"/>
      <c r="AW730" s="110"/>
      <c r="AX730" s="110"/>
      <c r="AY730" s="110"/>
      <c r="AZ730" s="110"/>
      <c r="BA730" s="110"/>
      <c r="BB730" s="110"/>
      <c r="BC730" s="110"/>
      <c r="BD730" s="110"/>
      <c r="BE730" s="110"/>
      <c r="BF730" s="110"/>
      <c r="BG730" s="110"/>
      <c r="BH730" s="110"/>
      <c r="BI730" s="110"/>
      <c r="BJ730" s="110"/>
      <c r="BK730" s="110"/>
      <c r="BL730" s="110"/>
      <c r="BM730" s="110"/>
      <c r="BN730" s="110"/>
      <c r="BO730" s="110"/>
      <c r="BP730" s="110"/>
      <c r="BQ730" s="110"/>
      <c r="BR730" s="110"/>
      <c r="BS730" s="110"/>
      <c r="BT730" s="110"/>
      <c r="BU730" s="110"/>
      <c r="BV730" s="110"/>
      <c r="BW730" s="110"/>
      <c r="BX730" s="110"/>
      <c r="BY730" s="110"/>
      <c r="BZ730" s="110"/>
      <c r="CA730" s="110"/>
      <c r="CB730" s="110"/>
      <c r="CC730" s="110"/>
    </row>
    <row r="731" spans="1:81" ht="12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  <c r="AU731" s="110"/>
      <c r="AV731" s="110"/>
      <c r="AW731" s="110"/>
      <c r="AX731" s="110"/>
      <c r="AY731" s="110"/>
      <c r="AZ731" s="110"/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</row>
    <row r="732" spans="1:81" ht="12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  <c r="AU732" s="110"/>
      <c r="AV732" s="110"/>
      <c r="AW732" s="110"/>
      <c r="AX732" s="110"/>
      <c r="AY732" s="110"/>
      <c r="AZ732" s="110"/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</row>
    <row r="733" spans="1:81" ht="12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  <c r="AU733" s="110"/>
      <c r="AV733" s="110"/>
      <c r="AW733" s="110"/>
      <c r="AX733" s="110"/>
      <c r="AY733" s="110"/>
      <c r="AZ733" s="110"/>
      <c r="BA733" s="110"/>
      <c r="BB733" s="110"/>
      <c r="BC733" s="110"/>
      <c r="BD733" s="110"/>
      <c r="BE733" s="110"/>
      <c r="BF733" s="110"/>
      <c r="BG733" s="110"/>
      <c r="BH733" s="110"/>
      <c r="BI733" s="110"/>
      <c r="BJ733" s="110"/>
      <c r="BK733" s="110"/>
      <c r="BL733" s="110"/>
      <c r="BM733" s="110"/>
      <c r="BN733" s="110"/>
      <c r="BO733" s="110"/>
      <c r="BP733" s="110"/>
      <c r="BQ733" s="110"/>
      <c r="BR733" s="110"/>
      <c r="BS733" s="110"/>
      <c r="BT733" s="110"/>
      <c r="BU733" s="110"/>
      <c r="BV733" s="110"/>
      <c r="BW733" s="110"/>
      <c r="BX733" s="110"/>
      <c r="BY733" s="110"/>
      <c r="BZ733" s="110"/>
      <c r="CA733" s="110"/>
      <c r="CB733" s="110"/>
      <c r="CC733" s="110"/>
    </row>
    <row r="734" spans="1:81" ht="12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  <c r="AU734" s="110"/>
      <c r="AV734" s="110"/>
      <c r="AW734" s="110"/>
      <c r="AX734" s="110"/>
      <c r="AY734" s="110"/>
      <c r="AZ734" s="110"/>
      <c r="BA734" s="110"/>
      <c r="BB734" s="110"/>
      <c r="BC734" s="110"/>
      <c r="BD734" s="110"/>
      <c r="BE734" s="110"/>
      <c r="BF734" s="110"/>
      <c r="BG734" s="110"/>
      <c r="BH734" s="110"/>
      <c r="BI734" s="110"/>
      <c r="BJ734" s="110"/>
      <c r="BK734" s="110"/>
      <c r="BL734" s="110"/>
      <c r="BM734" s="110"/>
      <c r="BN734" s="110"/>
      <c r="BO734" s="110"/>
      <c r="BP734" s="110"/>
      <c r="BQ734" s="110"/>
      <c r="BR734" s="110"/>
      <c r="BS734" s="110"/>
      <c r="BT734" s="110"/>
      <c r="BU734" s="110"/>
      <c r="BV734" s="110"/>
      <c r="BW734" s="110"/>
      <c r="BX734" s="110"/>
      <c r="BY734" s="110"/>
      <c r="BZ734" s="110"/>
      <c r="CA734" s="110"/>
      <c r="CB734" s="110"/>
      <c r="CC734" s="110"/>
    </row>
    <row r="735" spans="1:81" ht="12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  <c r="AU735" s="110"/>
      <c r="AV735" s="110"/>
      <c r="AW735" s="110"/>
      <c r="AX735" s="110"/>
      <c r="AY735" s="110"/>
      <c r="AZ735" s="110"/>
      <c r="BA735" s="110"/>
      <c r="BB735" s="110"/>
      <c r="BC735" s="110"/>
      <c r="BD735" s="110"/>
      <c r="BE735" s="110"/>
      <c r="BF735" s="110"/>
      <c r="BG735" s="110"/>
      <c r="BH735" s="110"/>
      <c r="BI735" s="110"/>
      <c r="BJ735" s="110"/>
      <c r="BK735" s="110"/>
      <c r="BL735" s="110"/>
      <c r="BM735" s="110"/>
      <c r="BN735" s="110"/>
      <c r="BO735" s="110"/>
      <c r="BP735" s="110"/>
      <c r="BQ735" s="110"/>
      <c r="BR735" s="110"/>
      <c r="BS735" s="110"/>
      <c r="BT735" s="110"/>
      <c r="BU735" s="110"/>
      <c r="BV735" s="110"/>
      <c r="BW735" s="110"/>
      <c r="BX735" s="110"/>
      <c r="BY735" s="110"/>
      <c r="BZ735" s="110"/>
      <c r="CA735" s="110"/>
      <c r="CB735" s="110"/>
      <c r="CC735" s="110"/>
    </row>
    <row r="736" spans="1:81" ht="12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  <c r="AU736" s="110"/>
      <c r="AV736" s="110"/>
      <c r="AW736" s="110"/>
      <c r="AX736" s="110"/>
      <c r="AY736" s="110"/>
      <c r="AZ736" s="110"/>
      <c r="BA736" s="110"/>
      <c r="BB736" s="110"/>
      <c r="BC736" s="110"/>
      <c r="BD736" s="110"/>
      <c r="BE736" s="110"/>
      <c r="BF736" s="110"/>
      <c r="BG736" s="110"/>
      <c r="BH736" s="110"/>
      <c r="BI736" s="110"/>
      <c r="BJ736" s="110"/>
      <c r="BK736" s="110"/>
      <c r="BL736" s="110"/>
      <c r="BM736" s="110"/>
      <c r="BN736" s="110"/>
      <c r="BO736" s="110"/>
      <c r="BP736" s="110"/>
      <c r="BQ736" s="110"/>
      <c r="BR736" s="110"/>
      <c r="BS736" s="110"/>
      <c r="BT736" s="110"/>
      <c r="BU736" s="110"/>
      <c r="BV736" s="110"/>
      <c r="BW736" s="110"/>
      <c r="BX736" s="110"/>
      <c r="BY736" s="110"/>
      <c r="BZ736" s="110"/>
      <c r="CA736" s="110"/>
      <c r="CB736" s="110"/>
      <c r="CC736" s="110"/>
    </row>
    <row r="737" spans="1:81" ht="12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  <c r="AU737" s="110"/>
      <c r="AV737" s="110"/>
      <c r="AW737" s="110"/>
      <c r="AX737" s="110"/>
      <c r="AY737" s="110"/>
      <c r="AZ737" s="110"/>
      <c r="BA737" s="110"/>
      <c r="BB737" s="110"/>
      <c r="BC737" s="110"/>
      <c r="BD737" s="110"/>
      <c r="BE737" s="110"/>
      <c r="BF737" s="110"/>
      <c r="BG737" s="110"/>
      <c r="BH737" s="110"/>
      <c r="BI737" s="110"/>
      <c r="BJ737" s="110"/>
      <c r="BK737" s="110"/>
      <c r="BL737" s="110"/>
      <c r="BM737" s="110"/>
      <c r="BN737" s="110"/>
      <c r="BO737" s="110"/>
      <c r="BP737" s="110"/>
      <c r="BQ737" s="110"/>
      <c r="BR737" s="110"/>
      <c r="BS737" s="110"/>
      <c r="BT737" s="110"/>
      <c r="BU737" s="110"/>
      <c r="BV737" s="110"/>
      <c r="BW737" s="110"/>
      <c r="BX737" s="110"/>
      <c r="BY737" s="110"/>
      <c r="BZ737" s="110"/>
      <c r="CA737" s="110"/>
      <c r="CB737" s="110"/>
      <c r="CC737" s="110"/>
    </row>
    <row r="738" spans="1:81" ht="12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  <c r="AU738" s="110"/>
      <c r="AV738" s="110"/>
      <c r="AW738" s="110"/>
      <c r="AX738" s="110"/>
      <c r="AY738" s="110"/>
      <c r="AZ738" s="110"/>
      <c r="BA738" s="110"/>
      <c r="BB738" s="110"/>
      <c r="BC738" s="110"/>
      <c r="BD738" s="110"/>
      <c r="BE738" s="110"/>
      <c r="BF738" s="110"/>
      <c r="BG738" s="110"/>
      <c r="BH738" s="110"/>
      <c r="BI738" s="110"/>
      <c r="BJ738" s="110"/>
      <c r="BK738" s="110"/>
      <c r="BL738" s="110"/>
      <c r="BM738" s="110"/>
      <c r="BN738" s="110"/>
      <c r="BO738" s="110"/>
      <c r="BP738" s="110"/>
      <c r="BQ738" s="110"/>
      <c r="BR738" s="110"/>
      <c r="BS738" s="110"/>
      <c r="BT738" s="110"/>
      <c r="BU738" s="110"/>
      <c r="BV738" s="110"/>
      <c r="BW738" s="110"/>
      <c r="BX738" s="110"/>
      <c r="BY738" s="110"/>
      <c r="BZ738" s="110"/>
      <c r="CA738" s="110"/>
      <c r="CB738" s="110"/>
      <c r="CC738" s="110"/>
    </row>
    <row r="739" spans="1:81" ht="12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  <c r="AU739" s="110"/>
      <c r="AV739" s="110"/>
      <c r="AW739" s="110"/>
      <c r="AX739" s="110"/>
      <c r="AY739" s="110"/>
      <c r="AZ739" s="110"/>
      <c r="BA739" s="110"/>
      <c r="BB739" s="110"/>
      <c r="BC739" s="110"/>
      <c r="BD739" s="110"/>
      <c r="BE739" s="110"/>
      <c r="BF739" s="110"/>
      <c r="BG739" s="110"/>
      <c r="BH739" s="110"/>
      <c r="BI739" s="110"/>
      <c r="BJ739" s="110"/>
      <c r="BK739" s="110"/>
      <c r="BL739" s="110"/>
      <c r="BM739" s="110"/>
      <c r="BN739" s="110"/>
      <c r="BO739" s="110"/>
      <c r="BP739" s="110"/>
      <c r="BQ739" s="110"/>
      <c r="BR739" s="110"/>
      <c r="BS739" s="110"/>
      <c r="BT739" s="110"/>
      <c r="BU739" s="110"/>
      <c r="BV739" s="110"/>
      <c r="BW739" s="110"/>
      <c r="BX739" s="110"/>
      <c r="BY739" s="110"/>
      <c r="BZ739" s="110"/>
      <c r="CA739" s="110"/>
      <c r="CB739" s="110"/>
      <c r="CC739" s="110"/>
    </row>
    <row r="740" spans="1:81" ht="12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  <c r="AU740" s="110"/>
      <c r="AV740" s="110"/>
      <c r="AW740" s="110"/>
      <c r="AX740" s="110"/>
      <c r="AY740" s="110"/>
      <c r="AZ740" s="110"/>
      <c r="BA740" s="110"/>
      <c r="BB740" s="110"/>
      <c r="BC740" s="110"/>
      <c r="BD740" s="110"/>
      <c r="BE740" s="110"/>
      <c r="BF740" s="110"/>
      <c r="BG740" s="110"/>
      <c r="BH740" s="110"/>
      <c r="BI740" s="110"/>
      <c r="BJ740" s="110"/>
      <c r="BK740" s="110"/>
      <c r="BL740" s="110"/>
      <c r="BM740" s="110"/>
      <c r="BN740" s="110"/>
      <c r="BO740" s="110"/>
      <c r="BP740" s="110"/>
      <c r="BQ740" s="110"/>
      <c r="BR740" s="110"/>
      <c r="BS740" s="110"/>
      <c r="BT740" s="110"/>
      <c r="BU740" s="110"/>
      <c r="BV740" s="110"/>
      <c r="BW740" s="110"/>
      <c r="BX740" s="110"/>
      <c r="BY740" s="110"/>
      <c r="BZ740" s="110"/>
      <c r="CA740" s="110"/>
      <c r="CB740" s="110"/>
      <c r="CC740" s="110"/>
    </row>
    <row r="741" spans="1:81" ht="12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  <c r="AU741" s="110"/>
      <c r="AV741" s="110"/>
      <c r="AW741" s="110"/>
      <c r="AX741" s="110"/>
      <c r="AY741" s="110"/>
      <c r="AZ741" s="110"/>
      <c r="BA741" s="110"/>
      <c r="BB741" s="110"/>
      <c r="BC741" s="110"/>
      <c r="BD741" s="110"/>
      <c r="BE741" s="110"/>
      <c r="BF741" s="110"/>
      <c r="BG741" s="110"/>
      <c r="BH741" s="110"/>
      <c r="BI741" s="110"/>
      <c r="BJ741" s="110"/>
      <c r="BK741" s="110"/>
      <c r="BL741" s="110"/>
      <c r="BM741" s="110"/>
      <c r="BN741" s="110"/>
      <c r="BO741" s="110"/>
      <c r="BP741" s="110"/>
      <c r="BQ741" s="110"/>
      <c r="BR741" s="110"/>
      <c r="BS741" s="110"/>
      <c r="BT741" s="110"/>
      <c r="BU741" s="110"/>
      <c r="BV741" s="110"/>
      <c r="BW741" s="110"/>
      <c r="BX741" s="110"/>
      <c r="BY741" s="110"/>
      <c r="BZ741" s="110"/>
      <c r="CA741" s="110"/>
      <c r="CB741" s="110"/>
      <c r="CC741" s="110"/>
    </row>
    <row r="742" spans="1:81" ht="12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  <c r="AU742" s="110"/>
      <c r="AV742" s="110"/>
      <c r="AW742" s="110"/>
      <c r="AX742" s="110"/>
      <c r="AY742" s="110"/>
      <c r="AZ742" s="110"/>
      <c r="BA742" s="110"/>
      <c r="BB742" s="110"/>
      <c r="BC742" s="110"/>
      <c r="BD742" s="110"/>
      <c r="BE742" s="110"/>
      <c r="BF742" s="110"/>
      <c r="BG742" s="110"/>
      <c r="BH742" s="110"/>
      <c r="BI742" s="110"/>
      <c r="BJ742" s="110"/>
      <c r="BK742" s="110"/>
      <c r="BL742" s="110"/>
      <c r="BM742" s="110"/>
      <c r="BN742" s="110"/>
      <c r="BO742" s="110"/>
      <c r="BP742" s="110"/>
      <c r="BQ742" s="110"/>
      <c r="BR742" s="110"/>
      <c r="BS742" s="110"/>
      <c r="BT742" s="110"/>
      <c r="BU742" s="110"/>
      <c r="BV742" s="110"/>
      <c r="BW742" s="110"/>
      <c r="BX742" s="110"/>
      <c r="BY742" s="110"/>
      <c r="BZ742" s="110"/>
      <c r="CA742" s="110"/>
      <c r="CB742" s="110"/>
      <c r="CC742" s="110"/>
    </row>
    <row r="743" spans="1:81" ht="12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  <c r="AU743" s="110"/>
      <c r="AV743" s="110"/>
      <c r="AW743" s="110"/>
      <c r="AX743" s="110"/>
      <c r="AY743" s="110"/>
      <c r="AZ743" s="110"/>
      <c r="BA743" s="110"/>
      <c r="BB743" s="110"/>
      <c r="BC743" s="110"/>
      <c r="BD743" s="110"/>
      <c r="BE743" s="110"/>
      <c r="BF743" s="110"/>
      <c r="BG743" s="110"/>
      <c r="BH743" s="110"/>
      <c r="BI743" s="110"/>
      <c r="BJ743" s="110"/>
      <c r="BK743" s="110"/>
      <c r="BL743" s="110"/>
      <c r="BM743" s="110"/>
      <c r="BN743" s="110"/>
      <c r="BO743" s="110"/>
      <c r="BP743" s="110"/>
      <c r="BQ743" s="110"/>
      <c r="BR743" s="110"/>
      <c r="BS743" s="110"/>
      <c r="BT743" s="110"/>
      <c r="BU743" s="110"/>
      <c r="BV743" s="110"/>
      <c r="BW743" s="110"/>
      <c r="BX743" s="110"/>
      <c r="BY743" s="110"/>
      <c r="BZ743" s="110"/>
      <c r="CA743" s="110"/>
      <c r="CB743" s="110"/>
      <c r="CC743" s="110"/>
    </row>
    <row r="744" spans="1:81" ht="12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  <c r="AU744" s="110"/>
      <c r="AV744" s="110"/>
      <c r="AW744" s="110"/>
      <c r="AX744" s="110"/>
      <c r="AY744" s="110"/>
      <c r="AZ744" s="110"/>
      <c r="BA744" s="110"/>
      <c r="BB744" s="110"/>
      <c r="BC744" s="110"/>
      <c r="BD744" s="110"/>
      <c r="BE744" s="110"/>
      <c r="BF744" s="110"/>
      <c r="BG744" s="110"/>
      <c r="BH744" s="110"/>
      <c r="BI744" s="110"/>
      <c r="BJ744" s="110"/>
      <c r="BK744" s="110"/>
      <c r="BL744" s="110"/>
      <c r="BM744" s="110"/>
      <c r="BN744" s="110"/>
      <c r="BO744" s="110"/>
      <c r="BP744" s="110"/>
      <c r="BQ744" s="110"/>
      <c r="BR744" s="110"/>
      <c r="BS744" s="110"/>
      <c r="BT744" s="110"/>
      <c r="BU744" s="110"/>
      <c r="BV744" s="110"/>
      <c r="BW744" s="110"/>
      <c r="BX744" s="110"/>
      <c r="BY744" s="110"/>
      <c r="BZ744" s="110"/>
      <c r="CA744" s="110"/>
      <c r="CB744" s="110"/>
      <c r="CC744" s="110"/>
    </row>
    <row r="745" spans="1:81" ht="12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  <c r="AU745" s="110"/>
      <c r="AV745" s="110"/>
      <c r="AW745" s="110"/>
      <c r="AX745" s="110"/>
      <c r="AY745" s="110"/>
      <c r="AZ745" s="110"/>
      <c r="BA745" s="110"/>
      <c r="BB745" s="110"/>
      <c r="BC745" s="110"/>
      <c r="BD745" s="110"/>
      <c r="BE745" s="110"/>
      <c r="BF745" s="110"/>
      <c r="BG745" s="110"/>
      <c r="BH745" s="110"/>
      <c r="BI745" s="110"/>
      <c r="BJ745" s="110"/>
      <c r="BK745" s="110"/>
      <c r="BL745" s="110"/>
      <c r="BM745" s="110"/>
      <c r="BN745" s="110"/>
      <c r="BO745" s="110"/>
      <c r="BP745" s="110"/>
      <c r="BQ745" s="110"/>
      <c r="BR745" s="110"/>
      <c r="BS745" s="110"/>
      <c r="BT745" s="110"/>
      <c r="BU745" s="110"/>
      <c r="BV745" s="110"/>
      <c r="BW745" s="110"/>
      <c r="BX745" s="110"/>
      <c r="BY745" s="110"/>
      <c r="BZ745" s="110"/>
      <c r="CA745" s="110"/>
      <c r="CB745" s="110"/>
      <c r="CC745" s="110"/>
    </row>
    <row r="746" spans="1:81" ht="12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  <c r="AU746" s="110"/>
      <c r="AV746" s="110"/>
      <c r="AW746" s="110"/>
      <c r="AX746" s="110"/>
      <c r="AY746" s="110"/>
      <c r="AZ746" s="110"/>
      <c r="BA746" s="110"/>
      <c r="BB746" s="110"/>
      <c r="BC746" s="110"/>
      <c r="BD746" s="110"/>
      <c r="BE746" s="110"/>
      <c r="BF746" s="110"/>
      <c r="BG746" s="110"/>
      <c r="BH746" s="110"/>
      <c r="BI746" s="110"/>
      <c r="BJ746" s="110"/>
      <c r="BK746" s="110"/>
      <c r="BL746" s="110"/>
      <c r="BM746" s="110"/>
      <c r="BN746" s="110"/>
      <c r="BO746" s="110"/>
      <c r="BP746" s="110"/>
      <c r="BQ746" s="110"/>
      <c r="BR746" s="110"/>
      <c r="BS746" s="110"/>
      <c r="BT746" s="110"/>
      <c r="BU746" s="110"/>
      <c r="BV746" s="110"/>
      <c r="BW746" s="110"/>
      <c r="BX746" s="110"/>
      <c r="BY746" s="110"/>
      <c r="BZ746" s="110"/>
      <c r="CA746" s="110"/>
      <c r="CB746" s="110"/>
      <c r="CC746" s="110"/>
    </row>
    <row r="747" spans="1:81" ht="12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  <c r="AU747" s="110"/>
      <c r="AV747" s="110"/>
      <c r="AW747" s="110"/>
      <c r="AX747" s="110"/>
      <c r="AY747" s="110"/>
      <c r="AZ747" s="110"/>
      <c r="BA747" s="110"/>
      <c r="BB747" s="110"/>
      <c r="BC747" s="110"/>
      <c r="BD747" s="110"/>
      <c r="BE747" s="110"/>
      <c r="BF747" s="110"/>
      <c r="BG747" s="110"/>
      <c r="BH747" s="110"/>
      <c r="BI747" s="110"/>
      <c r="BJ747" s="110"/>
      <c r="BK747" s="110"/>
      <c r="BL747" s="110"/>
      <c r="BM747" s="110"/>
      <c r="BN747" s="110"/>
      <c r="BO747" s="110"/>
      <c r="BP747" s="110"/>
      <c r="BQ747" s="110"/>
      <c r="BR747" s="110"/>
      <c r="BS747" s="110"/>
      <c r="BT747" s="110"/>
      <c r="BU747" s="110"/>
      <c r="BV747" s="110"/>
      <c r="BW747" s="110"/>
      <c r="BX747" s="110"/>
      <c r="BY747" s="110"/>
      <c r="BZ747" s="110"/>
      <c r="CA747" s="110"/>
      <c r="CB747" s="110"/>
      <c r="CC747" s="110"/>
    </row>
    <row r="748" spans="1:81" ht="12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  <c r="AU748" s="110"/>
      <c r="AV748" s="110"/>
      <c r="AW748" s="110"/>
      <c r="AX748" s="110"/>
      <c r="AY748" s="110"/>
      <c r="AZ748" s="110"/>
      <c r="BA748" s="110"/>
      <c r="BB748" s="110"/>
      <c r="BC748" s="110"/>
      <c r="BD748" s="110"/>
      <c r="BE748" s="110"/>
      <c r="BF748" s="110"/>
      <c r="BG748" s="110"/>
      <c r="BH748" s="110"/>
      <c r="BI748" s="110"/>
      <c r="BJ748" s="110"/>
      <c r="BK748" s="110"/>
      <c r="BL748" s="110"/>
      <c r="BM748" s="110"/>
      <c r="BN748" s="110"/>
      <c r="BO748" s="110"/>
      <c r="BP748" s="110"/>
      <c r="BQ748" s="110"/>
      <c r="BR748" s="110"/>
      <c r="BS748" s="110"/>
      <c r="BT748" s="110"/>
      <c r="BU748" s="110"/>
      <c r="BV748" s="110"/>
      <c r="BW748" s="110"/>
      <c r="BX748" s="110"/>
      <c r="BY748" s="110"/>
      <c r="BZ748" s="110"/>
      <c r="CA748" s="110"/>
      <c r="CB748" s="110"/>
      <c r="CC748" s="110"/>
    </row>
    <row r="749" spans="1:81" ht="12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  <c r="AU749" s="110"/>
      <c r="AV749" s="110"/>
      <c r="AW749" s="110"/>
      <c r="AX749" s="110"/>
      <c r="AY749" s="110"/>
      <c r="AZ749" s="110"/>
      <c r="BA749" s="110"/>
      <c r="BB749" s="110"/>
      <c r="BC749" s="110"/>
      <c r="BD749" s="110"/>
      <c r="BE749" s="110"/>
      <c r="BF749" s="110"/>
      <c r="BG749" s="110"/>
      <c r="BH749" s="110"/>
      <c r="BI749" s="110"/>
      <c r="BJ749" s="110"/>
      <c r="BK749" s="110"/>
      <c r="BL749" s="110"/>
      <c r="BM749" s="110"/>
      <c r="BN749" s="110"/>
      <c r="BO749" s="110"/>
      <c r="BP749" s="110"/>
      <c r="BQ749" s="110"/>
      <c r="BR749" s="110"/>
      <c r="BS749" s="110"/>
      <c r="BT749" s="110"/>
      <c r="BU749" s="110"/>
      <c r="BV749" s="110"/>
      <c r="BW749" s="110"/>
      <c r="BX749" s="110"/>
      <c r="BY749" s="110"/>
      <c r="BZ749" s="110"/>
      <c r="CA749" s="110"/>
      <c r="CB749" s="110"/>
      <c r="CC749" s="110"/>
    </row>
    <row r="750" spans="1:81" ht="12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  <c r="AU750" s="110"/>
      <c r="AV750" s="110"/>
      <c r="AW750" s="110"/>
      <c r="AX750" s="110"/>
      <c r="AY750" s="110"/>
      <c r="AZ750" s="110"/>
      <c r="BA750" s="110"/>
      <c r="BB750" s="110"/>
      <c r="BC750" s="110"/>
      <c r="BD750" s="110"/>
      <c r="BE750" s="110"/>
      <c r="BF750" s="110"/>
      <c r="BG750" s="110"/>
      <c r="BH750" s="110"/>
      <c r="BI750" s="110"/>
      <c r="BJ750" s="110"/>
      <c r="BK750" s="110"/>
      <c r="BL750" s="110"/>
      <c r="BM750" s="110"/>
      <c r="BN750" s="110"/>
      <c r="BO750" s="110"/>
      <c r="BP750" s="110"/>
      <c r="BQ750" s="110"/>
      <c r="BR750" s="110"/>
      <c r="BS750" s="110"/>
      <c r="BT750" s="110"/>
      <c r="BU750" s="110"/>
      <c r="BV750" s="110"/>
      <c r="BW750" s="110"/>
      <c r="BX750" s="110"/>
      <c r="BY750" s="110"/>
      <c r="BZ750" s="110"/>
      <c r="CA750" s="110"/>
      <c r="CB750" s="110"/>
      <c r="CC750" s="110"/>
    </row>
    <row r="751" spans="1:81" ht="12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  <c r="AU751" s="110"/>
      <c r="AV751" s="110"/>
      <c r="AW751" s="110"/>
      <c r="AX751" s="110"/>
      <c r="AY751" s="110"/>
      <c r="AZ751" s="110"/>
      <c r="BA751" s="110"/>
      <c r="BB751" s="110"/>
      <c r="BC751" s="110"/>
      <c r="BD751" s="110"/>
      <c r="BE751" s="110"/>
      <c r="BF751" s="110"/>
      <c r="BG751" s="110"/>
      <c r="BH751" s="110"/>
      <c r="BI751" s="110"/>
      <c r="BJ751" s="110"/>
      <c r="BK751" s="110"/>
      <c r="BL751" s="110"/>
      <c r="BM751" s="110"/>
      <c r="BN751" s="110"/>
      <c r="BO751" s="110"/>
      <c r="BP751" s="110"/>
      <c r="BQ751" s="110"/>
      <c r="BR751" s="110"/>
      <c r="BS751" s="110"/>
      <c r="BT751" s="110"/>
      <c r="BU751" s="110"/>
      <c r="BV751" s="110"/>
      <c r="BW751" s="110"/>
      <c r="BX751" s="110"/>
      <c r="BY751" s="110"/>
      <c r="BZ751" s="110"/>
      <c r="CA751" s="110"/>
      <c r="CB751" s="110"/>
      <c r="CC751" s="110"/>
    </row>
    <row r="752" spans="1:81" ht="12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  <c r="AU752" s="110"/>
      <c r="AV752" s="110"/>
      <c r="AW752" s="110"/>
      <c r="AX752" s="110"/>
      <c r="AY752" s="110"/>
      <c r="AZ752" s="110"/>
      <c r="BA752" s="110"/>
      <c r="BB752" s="110"/>
      <c r="BC752" s="110"/>
      <c r="BD752" s="110"/>
      <c r="BE752" s="110"/>
      <c r="BF752" s="110"/>
      <c r="BG752" s="110"/>
      <c r="BH752" s="110"/>
      <c r="BI752" s="110"/>
      <c r="BJ752" s="110"/>
      <c r="BK752" s="110"/>
      <c r="BL752" s="110"/>
      <c r="BM752" s="110"/>
      <c r="BN752" s="110"/>
      <c r="BO752" s="110"/>
      <c r="BP752" s="110"/>
      <c r="BQ752" s="110"/>
      <c r="BR752" s="110"/>
      <c r="BS752" s="110"/>
      <c r="BT752" s="110"/>
      <c r="BU752" s="110"/>
      <c r="BV752" s="110"/>
      <c r="BW752" s="110"/>
      <c r="BX752" s="110"/>
      <c r="BY752" s="110"/>
      <c r="BZ752" s="110"/>
      <c r="CA752" s="110"/>
      <c r="CB752" s="110"/>
      <c r="CC752" s="110"/>
    </row>
    <row r="753" spans="1:81" ht="12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  <c r="AU753" s="110"/>
      <c r="AV753" s="110"/>
      <c r="AW753" s="110"/>
      <c r="AX753" s="110"/>
      <c r="AY753" s="110"/>
      <c r="AZ753" s="110"/>
      <c r="BA753" s="110"/>
      <c r="BB753" s="110"/>
      <c r="BC753" s="110"/>
      <c r="BD753" s="110"/>
      <c r="BE753" s="110"/>
      <c r="BF753" s="110"/>
      <c r="BG753" s="110"/>
      <c r="BH753" s="110"/>
      <c r="BI753" s="110"/>
      <c r="BJ753" s="110"/>
      <c r="BK753" s="110"/>
      <c r="BL753" s="110"/>
      <c r="BM753" s="110"/>
      <c r="BN753" s="110"/>
      <c r="BO753" s="110"/>
      <c r="BP753" s="110"/>
      <c r="BQ753" s="110"/>
      <c r="BR753" s="110"/>
      <c r="BS753" s="110"/>
      <c r="BT753" s="110"/>
      <c r="BU753" s="110"/>
      <c r="BV753" s="110"/>
      <c r="BW753" s="110"/>
      <c r="BX753" s="110"/>
      <c r="BY753" s="110"/>
      <c r="BZ753" s="110"/>
      <c r="CA753" s="110"/>
      <c r="CB753" s="110"/>
      <c r="CC753" s="110"/>
    </row>
    <row r="754" spans="1:81" ht="12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  <c r="AU754" s="110"/>
      <c r="AV754" s="110"/>
      <c r="AW754" s="110"/>
      <c r="AX754" s="110"/>
      <c r="AY754" s="110"/>
      <c r="AZ754" s="110"/>
      <c r="BA754" s="110"/>
      <c r="BB754" s="110"/>
      <c r="BC754" s="110"/>
      <c r="BD754" s="110"/>
      <c r="BE754" s="110"/>
      <c r="BF754" s="110"/>
      <c r="BG754" s="110"/>
      <c r="BH754" s="110"/>
      <c r="BI754" s="110"/>
      <c r="BJ754" s="110"/>
      <c r="BK754" s="110"/>
      <c r="BL754" s="110"/>
      <c r="BM754" s="110"/>
      <c r="BN754" s="110"/>
      <c r="BO754" s="110"/>
      <c r="BP754" s="110"/>
      <c r="BQ754" s="110"/>
      <c r="BR754" s="110"/>
      <c r="BS754" s="110"/>
      <c r="BT754" s="110"/>
      <c r="BU754" s="110"/>
      <c r="BV754" s="110"/>
      <c r="BW754" s="110"/>
      <c r="BX754" s="110"/>
      <c r="BY754" s="110"/>
      <c r="BZ754" s="110"/>
      <c r="CA754" s="110"/>
      <c r="CB754" s="110"/>
      <c r="CC754" s="110"/>
    </row>
    <row r="755" spans="1:81" ht="12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  <c r="AU755" s="110"/>
      <c r="AV755" s="110"/>
      <c r="AW755" s="110"/>
      <c r="AX755" s="110"/>
      <c r="AY755" s="110"/>
      <c r="AZ755" s="110"/>
      <c r="BA755" s="110"/>
      <c r="BB755" s="110"/>
      <c r="BC755" s="110"/>
      <c r="BD755" s="110"/>
      <c r="BE755" s="110"/>
      <c r="BF755" s="110"/>
      <c r="BG755" s="110"/>
      <c r="BH755" s="110"/>
      <c r="BI755" s="110"/>
      <c r="BJ755" s="110"/>
      <c r="BK755" s="110"/>
      <c r="BL755" s="110"/>
      <c r="BM755" s="110"/>
      <c r="BN755" s="110"/>
      <c r="BO755" s="110"/>
      <c r="BP755" s="110"/>
      <c r="BQ755" s="110"/>
      <c r="BR755" s="110"/>
      <c r="BS755" s="110"/>
      <c r="BT755" s="110"/>
      <c r="BU755" s="110"/>
      <c r="BV755" s="110"/>
      <c r="BW755" s="110"/>
      <c r="BX755" s="110"/>
      <c r="BY755" s="110"/>
      <c r="BZ755" s="110"/>
      <c r="CA755" s="110"/>
      <c r="CB755" s="110"/>
      <c r="CC755" s="110"/>
    </row>
    <row r="756" spans="1:81" ht="12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  <c r="AU756" s="110"/>
      <c r="AV756" s="110"/>
      <c r="AW756" s="110"/>
      <c r="AX756" s="110"/>
      <c r="AY756" s="110"/>
      <c r="AZ756" s="110"/>
      <c r="BA756" s="110"/>
      <c r="BB756" s="110"/>
      <c r="BC756" s="110"/>
      <c r="BD756" s="110"/>
      <c r="BE756" s="110"/>
      <c r="BF756" s="110"/>
      <c r="BG756" s="110"/>
      <c r="BH756" s="110"/>
      <c r="BI756" s="110"/>
      <c r="BJ756" s="110"/>
      <c r="BK756" s="110"/>
      <c r="BL756" s="110"/>
      <c r="BM756" s="110"/>
      <c r="BN756" s="110"/>
      <c r="BO756" s="110"/>
      <c r="BP756" s="110"/>
      <c r="BQ756" s="110"/>
      <c r="BR756" s="110"/>
      <c r="BS756" s="110"/>
      <c r="BT756" s="110"/>
      <c r="BU756" s="110"/>
      <c r="BV756" s="110"/>
      <c r="BW756" s="110"/>
      <c r="BX756" s="110"/>
      <c r="BY756" s="110"/>
      <c r="BZ756" s="110"/>
      <c r="CA756" s="110"/>
      <c r="CB756" s="110"/>
      <c r="CC756" s="110"/>
    </row>
    <row r="757" spans="1:81" ht="12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  <c r="AU757" s="110"/>
      <c r="AV757" s="110"/>
      <c r="AW757" s="110"/>
      <c r="AX757" s="110"/>
      <c r="AY757" s="110"/>
      <c r="AZ757" s="110"/>
      <c r="BA757" s="110"/>
      <c r="BB757" s="110"/>
      <c r="BC757" s="110"/>
      <c r="BD757" s="110"/>
      <c r="BE757" s="110"/>
      <c r="BF757" s="110"/>
      <c r="BG757" s="110"/>
      <c r="BH757" s="110"/>
      <c r="BI757" s="110"/>
      <c r="BJ757" s="110"/>
      <c r="BK757" s="110"/>
      <c r="BL757" s="110"/>
      <c r="BM757" s="110"/>
      <c r="BN757" s="110"/>
      <c r="BO757" s="110"/>
      <c r="BP757" s="110"/>
      <c r="BQ757" s="110"/>
      <c r="BR757" s="110"/>
      <c r="BS757" s="110"/>
      <c r="BT757" s="110"/>
      <c r="BU757" s="110"/>
      <c r="BV757" s="110"/>
      <c r="BW757" s="110"/>
      <c r="BX757" s="110"/>
      <c r="BY757" s="110"/>
      <c r="BZ757" s="110"/>
      <c r="CA757" s="110"/>
      <c r="CB757" s="110"/>
      <c r="CC757" s="110"/>
    </row>
    <row r="758" spans="1:81" ht="12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  <c r="AU758" s="110"/>
      <c r="AV758" s="110"/>
      <c r="AW758" s="110"/>
      <c r="AX758" s="110"/>
      <c r="AY758" s="110"/>
      <c r="AZ758" s="110"/>
      <c r="BA758" s="110"/>
      <c r="BB758" s="110"/>
      <c r="BC758" s="110"/>
      <c r="BD758" s="110"/>
      <c r="BE758" s="110"/>
      <c r="BF758" s="110"/>
      <c r="BG758" s="110"/>
      <c r="BH758" s="110"/>
      <c r="BI758" s="110"/>
      <c r="BJ758" s="110"/>
      <c r="BK758" s="110"/>
      <c r="BL758" s="110"/>
      <c r="BM758" s="110"/>
      <c r="BN758" s="110"/>
      <c r="BO758" s="110"/>
      <c r="BP758" s="110"/>
      <c r="BQ758" s="110"/>
      <c r="BR758" s="110"/>
      <c r="BS758" s="110"/>
      <c r="BT758" s="110"/>
      <c r="BU758" s="110"/>
      <c r="BV758" s="110"/>
      <c r="BW758" s="110"/>
      <c r="BX758" s="110"/>
      <c r="BY758" s="110"/>
      <c r="BZ758" s="110"/>
      <c r="CA758" s="110"/>
      <c r="CB758" s="110"/>
      <c r="CC758" s="110"/>
    </row>
    <row r="759" spans="1:81" ht="12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  <c r="AU759" s="110"/>
      <c r="AV759" s="110"/>
      <c r="AW759" s="110"/>
      <c r="AX759" s="110"/>
      <c r="AY759" s="110"/>
      <c r="AZ759" s="110"/>
      <c r="BA759" s="110"/>
      <c r="BB759" s="110"/>
      <c r="BC759" s="110"/>
      <c r="BD759" s="110"/>
      <c r="BE759" s="110"/>
      <c r="BF759" s="110"/>
      <c r="BG759" s="110"/>
      <c r="BH759" s="110"/>
      <c r="BI759" s="110"/>
      <c r="BJ759" s="110"/>
      <c r="BK759" s="110"/>
      <c r="BL759" s="110"/>
      <c r="BM759" s="110"/>
      <c r="BN759" s="110"/>
      <c r="BO759" s="110"/>
      <c r="BP759" s="110"/>
      <c r="BQ759" s="110"/>
      <c r="BR759" s="110"/>
      <c r="BS759" s="110"/>
      <c r="BT759" s="110"/>
      <c r="BU759" s="110"/>
      <c r="BV759" s="110"/>
      <c r="BW759" s="110"/>
      <c r="BX759" s="110"/>
      <c r="BY759" s="110"/>
      <c r="BZ759" s="110"/>
      <c r="CA759" s="110"/>
      <c r="CB759" s="110"/>
      <c r="CC759" s="110"/>
    </row>
    <row r="760" spans="1:81" ht="12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  <c r="AU760" s="110"/>
      <c r="AV760" s="110"/>
      <c r="AW760" s="110"/>
      <c r="AX760" s="110"/>
      <c r="AY760" s="110"/>
      <c r="AZ760" s="110"/>
      <c r="BA760" s="110"/>
      <c r="BB760" s="110"/>
      <c r="BC760" s="110"/>
      <c r="BD760" s="110"/>
      <c r="BE760" s="110"/>
      <c r="BF760" s="110"/>
      <c r="BG760" s="110"/>
      <c r="BH760" s="110"/>
      <c r="BI760" s="110"/>
      <c r="BJ760" s="110"/>
      <c r="BK760" s="110"/>
      <c r="BL760" s="110"/>
      <c r="BM760" s="110"/>
      <c r="BN760" s="110"/>
      <c r="BO760" s="110"/>
      <c r="BP760" s="110"/>
      <c r="BQ760" s="110"/>
      <c r="BR760" s="110"/>
      <c r="BS760" s="110"/>
      <c r="BT760" s="110"/>
      <c r="BU760" s="110"/>
      <c r="BV760" s="110"/>
      <c r="BW760" s="110"/>
      <c r="BX760" s="110"/>
      <c r="BY760" s="110"/>
      <c r="BZ760" s="110"/>
      <c r="CA760" s="110"/>
      <c r="CB760" s="110"/>
      <c r="CC760" s="110"/>
    </row>
    <row r="761" spans="1:81" ht="12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  <c r="AU761" s="110"/>
      <c r="AV761" s="110"/>
      <c r="AW761" s="110"/>
      <c r="AX761" s="110"/>
      <c r="AY761" s="110"/>
      <c r="AZ761" s="110"/>
      <c r="BA761" s="110"/>
      <c r="BB761" s="110"/>
      <c r="BC761" s="110"/>
      <c r="BD761" s="110"/>
      <c r="BE761" s="110"/>
      <c r="BF761" s="110"/>
      <c r="BG761" s="110"/>
      <c r="BH761" s="110"/>
      <c r="BI761" s="110"/>
      <c r="BJ761" s="110"/>
      <c r="BK761" s="110"/>
      <c r="BL761" s="110"/>
      <c r="BM761" s="110"/>
      <c r="BN761" s="110"/>
      <c r="BO761" s="110"/>
      <c r="BP761" s="110"/>
      <c r="BQ761" s="110"/>
      <c r="BR761" s="110"/>
      <c r="BS761" s="110"/>
      <c r="BT761" s="110"/>
      <c r="BU761" s="110"/>
      <c r="BV761" s="110"/>
      <c r="BW761" s="110"/>
      <c r="BX761" s="110"/>
      <c r="BY761" s="110"/>
      <c r="BZ761" s="110"/>
      <c r="CA761" s="110"/>
      <c r="CB761" s="110"/>
      <c r="CC761" s="110"/>
    </row>
    <row r="762" spans="1:81" ht="12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  <c r="AU762" s="110"/>
      <c r="AV762" s="110"/>
      <c r="AW762" s="110"/>
      <c r="AX762" s="110"/>
      <c r="AY762" s="110"/>
      <c r="AZ762" s="110"/>
      <c r="BA762" s="110"/>
      <c r="BB762" s="110"/>
      <c r="BC762" s="110"/>
      <c r="BD762" s="110"/>
      <c r="BE762" s="110"/>
      <c r="BF762" s="110"/>
      <c r="BG762" s="110"/>
      <c r="BH762" s="110"/>
      <c r="BI762" s="110"/>
      <c r="BJ762" s="110"/>
      <c r="BK762" s="110"/>
      <c r="BL762" s="110"/>
      <c r="BM762" s="110"/>
      <c r="BN762" s="110"/>
      <c r="BO762" s="110"/>
      <c r="BP762" s="110"/>
      <c r="BQ762" s="110"/>
      <c r="BR762" s="110"/>
      <c r="BS762" s="110"/>
      <c r="BT762" s="110"/>
      <c r="BU762" s="110"/>
      <c r="BV762" s="110"/>
      <c r="BW762" s="110"/>
      <c r="BX762" s="110"/>
      <c r="BY762" s="110"/>
      <c r="BZ762" s="110"/>
      <c r="CA762" s="110"/>
      <c r="CB762" s="110"/>
      <c r="CC762" s="110"/>
    </row>
    <row r="763" spans="1:81" ht="12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  <c r="AU763" s="110"/>
      <c r="AV763" s="110"/>
      <c r="AW763" s="110"/>
      <c r="AX763" s="110"/>
      <c r="AY763" s="110"/>
      <c r="AZ763" s="110"/>
      <c r="BA763" s="110"/>
      <c r="BB763" s="110"/>
      <c r="BC763" s="110"/>
      <c r="BD763" s="110"/>
      <c r="BE763" s="110"/>
      <c r="BF763" s="110"/>
      <c r="BG763" s="110"/>
      <c r="BH763" s="110"/>
      <c r="BI763" s="110"/>
      <c r="BJ763" s="110"/>
      <c r="BK763" s="110"/>
      <c r="BL763" s="110"/>
      <c r="BM763" s="110"/>
      <c r="BN763" s="110"/>
      <c r="BO763" s="110"/>
      <c r="BP763" s="110"/>
      <c r="BQ763" s="110"/>
      <c r="BR763" s="110"/>
      <c r="BS763" s="110"/>
      <c r="BT763" s="110"/>
      <c r="BU763" s="110"/>
      <c r="BV763" s="110"/>
      <c r="BW763" s="110"/>
      <c r="BX763" s="110"/>
      <c r="BY763" s="110"/>
      <c r="BZ763" s="110"/>
      <c r="CA763" s="110"/>
      <c r="CB763" s="110"/>
      <c r="CC763" s="110"/>
    </row>
    <row r="764" spans="1:81" ht="12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  <c r="AU764" s="110"/>
      <c r="AV764" s="110"/>
      <c r="AW764" s="110"/>
      <c r="AX764" s="110"/>
      <c r="AY764" s="110"/>
      <c r="AZ764" s="110"/>
      <c r="BA764" s="110"/>
      <c r="BB764" s="110"/>
      <c r="BC764" s="110"/>
      <c r="BD764" s="110"/>
      <c r="BE764" s="110"/>
      <c r="BF764" s="110"/>
      <c r="BG764" s="110"/>
      <c r="BH764" s="110"/>
      <c r="BI764" s="110"/>
      <c r="BJ764" s="110"/>
      <c r="BK764" s="110"/>
      <c r="BL764" s="110"/>
      <c r="BM764" s="110"/>
      <c r="BN764" s="110"/>
      <c r="BO764" s="110"/>
      <c r="BP764" s="110"/>
      <c r="BQ764" s="110"/>
      <c r="BR764" s="110"/>
      <c r="BS764" s="110"/>
      <c r="BT764" s="110"/>
      <c r="BU764" s="110"/>
      <c r="BV764" s="110"/>
      <c r="BW764" s="110"/>
      <c r="BX764" s="110"/>
      <c r="BY764" s="110"/>
      <c r="BZ764" s="110"/>
      <c r="CA764" s="110"/>
      <c r="CB764" s="110"/>
      <c r="CC764" s="110"/>
    </row>
    <row r="765" spans="1:81" ht="12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  <c r="AS765" s="110"/>
      <c r="AT765" s="110"/>
      <c r="AU765" s="110"/>
      <c r="AV765" s="110"/>
      <c r="AW765" s="110"/>
      <c r="AX765" s="110"/>
      <c r="AY765" s="110"/>
      <c r="AZ765" s="110"/>
      <c r="BA765" s="110"/>
      <c r="BB765" s="110"/>
      <c r="BC765" s="110"/>
      <c r="BD765" s="110"/>
      <c r="BE765" s="110"/>
      <c r="BF765" s="110"/>
      <c r="BG765" s="110"/>
      <c r="BH765" s="110"/>
      <c r="BI765" s="110"/>
      <c r="BJ765" s="110"/>
      <c r="BK765" s="110"/>
      <c r="BL765" s="110"/>
      <c r="BM765" s="110"/>
      <c r="BN765" s="110"/>
      <c r="BO765" s="110"/>
      <c r="BP765" s="110"/>
      <c r="BQ765" s="110"/>
      <c r="BR765" s="110"/>
      <c r="BS765" s="110"/>
      <c r="BT765" s="110"/>
      <c r="BU765" s="110"/>
      <c r="BV765" s="110"/>
      <c r="BW765" s="110"/>
      <c r="BX765" s="110"/>
      <c r="BY765" s="110"/>
      <c r="BZ765" s="110"/>
      <c r="CA765" s="110"/>
      <c r="CB765" s="110"/>
      <c r="CC765" s="110"/>
    </row>
    <row r="766" spans="1:81" ht="12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  <c r="AU766" s="110"/>
      <c r="AV766" s="110"/>
      <c r="AW766" s="110"/>
      <c r="AX766" s="110"/>
      <c r="AY766" s="110"/>
      <c r="AZ766" s="110"/>
      <c r="BA766" s="110"/>
      <c r="BB766" s="110"/>
      <c r="BC766" s="110"/>
      <c r="BD766" s="110"/>
      <c r="BE766" s="110"/>
      <c r="BF766" s="110"/>
      <c r="BG766" s="110"/>
      <c r="BH766" s="110"/>
      <c r="BI766" s="110"/>
      <c r="BJ766" s="110"/>
      <c r="BK766" s="110"/>
      <c r="BL766" s="110"/>
      <c r="BM766" s="110"/>
      <c r="BN766" s="110"/>
      <c r="BO766" s="110"/>
      <c r="BP766" s="110"/>
      <c r="BQ766" s="110"/>
      <c r="BR766" s="110"/>
      <c r="BS766" s="110"/>
      <c r="BT766" s="110"/>
      <c r="BU766" s="110"/>
      <c r="BV766" s="110"/>
      <c r="BW766" s="110"/>
      <c r="BX766" s="110"/>
      <c r="BY766" s="110"/>
      <c r="BZ766" s="110"/>
      <c r="CA766" s="110"/>
      <c r="CB766" s="110"/>
      <c r="CC766" s="110"/>
    </row>
    <row r="767" spans="1:81" ht="12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  <c r="AU767" s="110"/>
      <c r="AV767" s="110"/>
      <c r="AW767" s="110"/>
      <c r="AX767" s="110"/>
      <c r="AY767" s="110"/>
      <c r="AZ767" s="110"/>
      <c r="BA767" s="110"/>
      <c r="BB767" s="110"/>
      <c r="BC767" s="110"/>
      <c r="BD767" s="110"/>
      <c r="BE767" s="110"/>
      <c r="BF767" s="110"/>
      <c r="BG767" s="110"/>
      <c r="BH767" s="110"/>
      <c r="BI767" s="110"/>
      <c r="BJ767" s="110"/>
      <c r="BK767" s="110"/>
      <c r="BL767" s="110"/>
      <c r="BM767" s="110"/>
      <c r="BN767" s="110"/>
      <c r="BO767" s="110"/>
      <c r="BP767" s="110"/>
      <c r="BQ767" s="110"/>
      <c r="BR767" s="110"/>
      <c r="BS767" s="110"/>
      <c r="BT767" s="110"/>
      <c r="BU767" s="110"/>
      <c r="BV767" s="110"/>
      <c r="BW767" s="110"/>
      <c r="BX767" s="110"/>
      <c r="BY767" s="110"/>
      <c r="BZ767" s="110"/>
      <c r="CA767" s="110"/>
      <c r="CB767" s="110"/>
      <c r="CC767" s="110"/>
    </row>
    <row r="768" spans="1:81" ht="12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  <c r="AU768" s="110"/>
      <c r="AV768" s="110"/>
      <c r="AW768" s="110"/>
      <c r="AX768" s="110"/>
      <c r="AY768" s="110"/>
      <c r="AZ768" s="110"/>
      <c r="BA768" s="110"/>
      <c r="BB768" s="110"/>
      <c r="BC768" s="110"/>
      <c r="BD768" s="110"/>
      <c r="BE768" s="110"/>
      <c r="BF768" s="110"/>
      <c r="BG768" s="110"/>
      <c r="BH768" s="110"/>
      <c r="BI768" s="110"/>
      <c r="BJ768" s="110"/>
      <c r="BK768" s="110"/>
      <c r="BL768" s="110"/>
      <c r="BM768" s="110"/>
      <c r="BN768" s="110"/>
      <c r="BO768" s="110"/>
      <c r="BP768" s="110"/>
      <c r="BQ768" s="110"/>
      <c r="BR768" s="110"/>
      <c r="BS768" s="110"/>
      <c r="BT768" s="110"/>
      <c r="BU768" s="110"/>
      <c r="BV768" s="110"/>
      <c r="BW768" s="110"/>
      <c r="BX768" s="110"/>
      <c r="BY768" s="110"/>
      <c r="BZ768" s="110"/>
      <c r="CA768" s="110"/>
      <c r="CB768" s="110"/>
      <c r="CC768" s="110"/>
    </row>
    <row r="769" spans="1:81" ht="12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  <c r="AU769" s="110"/>
      <c r="AV769" s="110"/>
      <c r="AW769" s="110"/>
      <c r="AX769" s="110"/>
      <c r="AY769" s="110"/>
      <c r="AZ769" s="110"/>
      <c r="BA769" s="110"/>
      <c r="BB769" s="110"/>
      <c r="BC769" s="110"/>
      <c r="BD769" s="110"/>
      <c r="BE769" s="110"/>
      <c r="BF769" s="110"/>
      <c r="BG769" s="110"/>
      <c r="BH769" s="110"/>
      <c r="BI769" s="110"/>
      <c r="BJ769" s="110"/>
      <c r="BK769" s="110"/>
      <c r="BL769" s="110"/>
      <c r="BM769" s="110"/>
      <c r="BN769" s="110"/>
      <c r="BO769" s="110"/>
      <c r="BP769" s="110"/>
      <c r="BQ769" s="110"/>
      <c r="BR769" s="110"/>
      <c r="BS769" s="110"/>
      <c r="BT769" s="110"/>
      <c r="BU769" s="110"/>
      <c r="BV769" s="110"/>
      <c r="BW769" s="110"/>
      <c r="BX769" s="110"/>
      <c r="BY769" s="110"/>
      <c r="BZ769" s="110"/>
      <c r="CA769" s="110"/>
      <c r="CB769" s="110"/>
      <c r="CC769" s="110"/>
    </row>
    <row r="770" spans="1:81" ht="12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  <c r="AU770" s="110"/>
      <c r="AV770" s="110"/>
      <c r="AW770" s="110"/>
      <c r="AX770" s="110"/>
      <c r="AY770" s="110"/>
      <c r="AZ770" s="110"/>
      <c r="BA770" s="110"/>
      <c r="BB770" s="110"/>
      <c r="BC770" s="110"/>
      <c r="BD770" s="110"/>
      <c r="BE770" s="110"/>
      <c r="BF770" s="110"/>
      <c r="BG770" s="110"/>
      <c r="BH770" s="110"/>
      <c r="BI770" s="110"/>
      <c r="BJ770" s="110"/>
      <c r="BK770" s="110"/>
      <c r="BL770" s="110"/>
      <c r="BM770" s="110"/>
      <c r="BN770" s="110"/>
      <c r="BO770" s="110"/>
      <c r="BP770" s="110"/>
      <c r="BQ770" s="110"/>
      <c r="BR770" s="110"/>
      <c r="BS770" s="110"/>
      <c r="BT770" s="110"/>
      <c r="BU770" s="110"/>
      <c r="BV770" s="110"/>
      <c r="BW770" s="110"/>
      <c r="BX770" s="110"/>
      <c r="BY770" s="110"/>
      <c r="BZ770" s="110"/>
      <c r="CA770" s="110"/>
      <c r="CB770" s="110"/>
      <c r="CC770" s="110"/>
    </row>
    <row r="771" spans="1:81" ht="12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  <c r="AU771" s="110"/>
      <c r="AV771" s="110"/>
      <c r="AW771" s="110"/>
      <c r="AX771" s="110"/>
      <c r="AY771" s="110"/>
      <c r="AZ771" s="110"/>
      <c r="BA771" s="110"/>
      <c r="BB771" s="110"/>
      <c r="BC771" s="110"/>
      <c r="BD771" s="110"/>
      <c r="BE771" s="110"/>
      <c r="BF771" s="110"/>
      <c r="BG771" s="110"/>
      <c r="BH771" s="110"/>
      <c r="BI771" s="110"/>
      <c r="BJ771" s="110"/>
      <c r="BK771" s="110"/>
      <c r="BL771" s="110"/>
      <c r="BM771" s="110"/>
      <c r="BN771" s="110"/>
      <c r="BO771" s="110"/>
      <c r="BP771" s="110"/>
      <c r="BQ771" s="110"/>
      <c r="BR771" s="110"/>
      <c r="BS771" s="110"/>
      <c r="BT771" s="110"/>
      <c r="BU771" s="110"/>
      <c r="BV771" s="110"/>
      <c r="BW771" s="110"/>
      <c r="BX771" s="110"/>
      <c r="BY771" s="110"/>
      <c r="BZ771" s="110"/>
      <c r="CA771" s="110"/>
      <c r="CB771" s="110"/>
      <c r="CC771" s="110"/>
    </row>
    <row r="772" spans="1:81" ht="12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  <c r="AU772" s="110"/>
      <c r="AV772" s="110"/>
      <c r="AW772" s="110"/>
      <c r="AX772" s="110"/>
      <c r="AY772" s="110"/>
      <c r="AZ772" s="110"/>
      <c r="BA772" s="110"/>
      <c r="BB772" s="110"/>
      <c r="BC772" s="110"/>
      <c r="BD772" s="110"/>
      <c r="BE772" s="110"/>
      <c r="BF772" s="110"/>
      <c r="BG772" s="110"/>
      <c r="BH772" s="110"/>
      <c r="BI772" s="110"/>
      <c r="BJ772" s="110"/>
      <c r="BK772" s="110"/>
      <c r="BL772" s="110"/>
      <c r="BM772" s="110"/>
      <c r="BN772" s="110"/>
      <c r="BO772" s="110"/>
      <c r="BP772" s="110"/>
      <c r="BQ772" s="110"/>
      <c r="BR772" s="110"/>
      <c r="BS772" s="110"/>
      <c r="BT772" s="110"/>
      <c r="BU772" s="110"/>
      <c r="BV772" s="110"/>
      <c r="BW772" s="110"/>
      <c r="BX772" s="110"/>
      <c r="BY772" s="110"/>
      <c r="BZ772" s="110"/>
      <c r="CA772" s="110"/>
      <c r="CB772" s="110"/>
      <c r="CC772" s="110"/>
    </row>
    <row r="773" spans="1:81" ht="12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  <c r="AU773" s="110"/>
      <c r="AV773" s="110"/>
      <c r="AW773" s="110"/>
      <c r="AX773" s="110"/>
      <c r="AY773" s="110"/>
      <c r="AZ773" s="110"/>
      <c r="BA773" s="110"/>
      <c r="BB773" s="110"/>
      <c r="BC773" s="110"/>
      <c r="BD773" s="110"/>
      <c r="BE773" s="110"/>
      <c r="BF773" s="110"/>
      <c r="BG773" s="110"/>
      <c r="BH773" s="110"/>
      <c r="BI773" s="110"/>
      <c r="BJ773" s="110"/>
      <c r="BK773" s="110"/>
      <c r="BL773" s="110"/>
      <c r="BM773" s="110"/>
      <c r="BN773" s="110"/>
      <c r="BO773" s="110"/>
      <c r="BP773" s="110"/>
      <c r="BQ773" s="110"/>
      <c r="BR773" s="110"/>
      <c r="BS773" s="110"/>
      <c r="BT773" s="110"/>
      <c r="BU773" s="110"/>
      <c r="BV773" s="110"/>
      <c r="BW773" s="110"/>
      <c r="BX773" s="110"/>
      <c r="BY773" s="110"/>
      <c r="BZ773" s="110"/>
      <c r="CA773" s="110"/>
      <c r="CB773" s="110"/>
      <c r="CC773" s="110"/>
    </row>
    <row r="774" spans="1:81" ht="12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  <c r="AU774" s="110"/>
      <c r="AV774" s="110"/>
      <c r="AW774" s="110"/>
      <c r="AX774" s="110"/>
      <c r="AY774" s="110"/>
      <c r="AZ774" s="110"/>
      <c r="BA774" s="110"/>
      <c r="BB774" s="110"/>
      <c r="BC774" s="110"/>
      <c r="BD774" s="110"/>
      <c r="BE774" s="110"/>
      <c r="BF774" s="110"/>
      <c r="BG774" s="110"/>
      <c r="BH774" s="110"/>
      <c r="BI774" s="110"/>
      <c r="BJ774" s="110"/>
      <c r="BK774" s="110"/>
      <c r="BL774" s="110"/>
      <c r="BM774" s="110"/>
      <c r="BN774" s="110"/>
      <c r="BO774" s="110"/>
      <c r="BP774" s="110"/>
      <c r="BQ774" s="110"/>
      <c r="BR774" s="110"/>
      <c r="BS774" s="110"/>
      <c r="BT774" s="110"/>
      <c r="BU774" s="110"/>
      <c r="BV774" s="110"/>
      <c r="BW774" s="110"/>
      <c r="BX774" s="110"/>
      <c r="BY774" s="110"/>
      <c r="BZ774" s="110"/>
      <c r="CA774" s="110"/>
      <c r="CB774" s="110"/>
      <c r="CC774" s="110"/>
    </row>
    <row r="775" spans="1:81" ht="12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  <c r="AU775" s="110"/>
      <c r="AV775" s="110"/>
      <c r="AW775" s="110"/>
      <c r="AX775" s="110"/>
      <c r="AY775" s="110"/>
      <c r="AZ775" s="110"/>
      <c r="BA775" s="110"/>
      <c r="BB775" s="110"/>
      <c r="BC775" s="110"/>
      <c r="BD775" s="110"/>
      <c r="BE775" s="110"/>
      <c r="BF775" s="110"/>
      <c r="BG775" s="110"/>
      <c r="BH775" s="110"/>
      <c r="BI775" s="110"/>
      <c r="BJ775" s="110"/>
      <c r="BK775" s="110"/>
      <c r="BL775" s="110"/>
      <c r="BM775" s="110"/>
      <c r="BN775" s="110"/>
      <c r="BO775" s="110"/>
      <c r="BP775" s="110"/>
      <c r="BQ775" s="110"/>
      <c r="BR775" s="110"/>
      <c r="BS775" s="110"/>
      <c r="BT775" s="110"/>
      <c r="BU775" s="110"/>
      <c r="BV775" s="110"/>
      <c r="BW775" s="110"/>
      <c r="BX775" s="110"/>
      <c r="BY775" s="110"/>
      <c r="BZ775" s="110"/>
      <c r="CA775" s="110"/>
      <c r="CB775" s="110"/>
      <c r="CC775" s="110"/>
    </row>
    <row r="776" spans="1:81" ht="12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  <c r="AU776" s="110"/>
      <c r="AV776" s="110"/>
      <c r="AW776" s="110"/>
      <c r="AX776" s="110"/>
      <c r="AY776" s="110"/>
      <c r="AZ776" s="110"/>
      <c r="BA776" s="110"/>
      <c r="BB776" s="110"/>
      <c r="BC776" s="110"/>
      <c r="BD776" s="110"/>
      <c r="BE776" s="110"/>
      <c r="BF776" s="110"/>
      <c r="BG776" s="110"/>
      <c r="BH776" s="110"/>
      <c r="BI776" s="110"/>
      <c r="BJ776" s="110"/>
      <c r="BK776" s="110"/>
      <c r="BL776" s="110"/>
      <c r="BM776" s="110"/>
      <c r="BN776" s="110"/>
      <c r="BO776" s="110"/>
      <c r="BP776" s="110"/>
      <c r="BQ776" s="110"/>
      <c r="BR776" s="110"/>
      <c r="BS776" s="110"/>
      <c r="BT776" s="110"/>
      <c r="BU776" s="110"/>
      <c r="BV776" s="110"/>
      <c r="BW776" s="110"/>
      <c r="BX776" s="110"/>
      <c r="BY776" s="110"/>
      <c r="BZ776" s="110"/>
      <c r="CA776" s="110"/>
      <c r="CB776" s="110"/>
      <c r="CC776" s="110"/>
    </row>
    <row r="777" spans="1:81" ht="12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  <c r="AU777" s="110"/>
      <c r="AV777" s="110"/>
      <c r="AW777" s="110"/>
      <c r="AX777" s="110"/>
      <c r="AY777" s="110"/>
      <c r="AZ777" s="110"/>
      <c r="BA777" s="110"/>
      <c r="BB777" s="110"/>
      <c r="BC777" s="110"/>
      <c r="BD777" s="110"/>
      <c r="BE777" s="110"/>
      <c r="BF777" s="110"/>
      <c r="BG777" s="110"/>
      <c r="BH777" s="110"/>
      <c r="BI777" s="110"/>
      <c r="BJ777" s="110"/>
      <c r="BK777" s="110"/>
      <c r="BL777" s="110"/>
      <c r="BM777" s="110"/>
      <c r="BN777" s="110"/>
      <c r="BO777" s="110"/>
      <c r="BP777" s="110"/>
      <c r="BQ777" s="110"/>
      <c r="BR777" s="110"/>
      <c r="BS777" s="110"/>
      <c r="BT777" s="110"/>
      <c r="BU777" s="110"/>
      <c r="BV777" s="110"/>
      <c r="BW777" s="110"/>
      <c r="BX777" s="110"/>
      <c r="BY777" s="110"/>
      <c r="BZ777" s="110"/>
      <c r="CA777" s="110"/>
      <c r="CB777" s="110"/>
      <c r="CC777" s="110"/>
    </row>
    <row r="778" spans="1:81" ht="12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  <c r="AU778" s="110"/>
      <c r="AV778" s="110"/>
      <c r="AW778" s="110"/>
      <c r="AX778" s="110"/>
      <c r="AY778" s="110"/>
      <c r="AZ778" s="110"/>
      <c r="BA778" s="110"/>
      <c r="BB778" s="110"/>
      <c r="BC778" s="110"/>
      <c r="BD778" s="110"/>
      <c r="BE778" s="110"/>
      <c r="BF778" s="110"/>
      <c r="BG778" s="110"/>
      <c r="BH778" s="110"/>
      <c r="BI778" s="110"/>
      <c r="BJ778" s="110"/>
      <c r="BK778" s="110"/>
      <c r="BL778" s="110"/>
      <c r="BM778" s="110"/>
      <c r="BN778" s="110"/>
      <c r="BO778" s="110"/>
      <c r="BP778" s="110"/>
      <c r="BQ778" s="110"/>
      <c r="BR778" s="110"/>
      <c r="BS778" s="110"/>
      <c r="BT778" s="110"/>
      <c r="BU778" s="110"/>
      <c r="BV778" s="110"/>
      <c r="BW778" s="110"/>
      <c r="BX778" s="110"/>
      <c r="BY778" s="110"/>
      <c r="BZ778" s="110"/>
      <c r="CA778" s="110"/>
      <c r="CB778" s="110"/>
      <c r="CC778" s="110"/>
    </row>
    <row r="779" spans="1:81" ht="12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  <c r="AU779" s="110"/>
      <c r="AV779" s="110"/>
      <c r="AW779" s="110"/>
      <c r="AX779" s="110"/>
      <c r="AY779" s="110"/>
      <c r="AZ779" s="110"/>
      <c r="BA779" s="110"/>
      <c r="BB779" s="110"/>
      <c r="BC779" s="110"/>
      <c r="BD779" s="110"/>
      <c r="BE779" s="110"/>
      <c r="BF779" s="110"/>
      <c r="BG779" s="110"/>
      <c r="BH779" s="110"/>
      <c r="BI779" s="110"/>
      <c r="BJ779" s="110"/>
      <c r="BK779" s="110"/>
      <c r="BL779" s="110"/>
      <c r="BM779" s="110"/>
      <c r="BN779" s="110"/>
      <c r="BO779" s="110"/>
      <c r="BP779" s="110"/>
      <c r="BQ779" s="110"/>
      <c r="BR779" s="110"/>
      <c r="BS779" s="110"/>
      <c r="BT779" s="110"/>
      <c r="BU779" s="110"/>
      <c r="BV779" s="110"/>
      <c r="BW779" s="110"/>
      <c r="BX779" s="110"/>
      <c r="BY779" s="110"/>
      <c r="BZ779" s="110"/>
      <c r="CA779" s="110"/>
      <c r="CB779" s="110"/>
      <c r="CC779" s="110"/>
    </row>
    <row r="780" spans="1:81" ht="12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  <c r="AU780" s="110"/>
      <c r="AV780" s="110"/>
      <c r="AW780" s="110"/>
      <c r="AX780" s="110"/>
      <c r="AY780" s="110"/>
      <c r="AZ780" s="110"/>
      <c r="BA780" s="110"/>
      <c r="BB780" s="110"/>
      <c r="BC780" s="110"/>
      <c r="BD780" s="110"/>
      <c r="BE780" s="110"/>
      <c r="BF780" s="110"/>
      <c r="BG780" s="110"/>
      <c r="BH780" s="110"/>
      <c r="BI780" s="110"/>
      <c r="BJ780" s="110"/>
      <c r="BK780" s="110"/>
      <c r="BL780" s="110"/>
      <c r="BM780" s="110"/>
      <c r="BN780" s="110"/>
      <c r="BO780" s="110"/>
      <c r="BP780" s="110"/>
      <c r="BQ780" s="110"/>
      <c r="BR780" s="110"/>
      <c r="BS780" s="110"/>
      <c r="BT780" s="110"/>
      <c r="BU780" s="110"/>
      <c r="BV780" s="110"/>
      <c r="BW780" s="110"/>
      <c r="BX780" s="110"/>
      <c r="BY780" s="110"/>
      <c r="BZ780" s="110"/>
      <c r="CA780" s="110"/>
      <c r="CB780" s="110"/>
      <c r="CC780" s="110"/>
    </row>
    <row r="781" spans="1:81" ht="12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  <c r="AU781" s="110"/>
      <c r="AV781" s="110"/>
      <c r="AW781" s="110"/>
      <c r="AX781" s="110"/>
      <c r="AY781" s="110"/>
      <c r="AZ781" s="110"/>
      <c r="BA781" s="110"/>
      <c r="BB781" s="110"/>
      <c r="BC781" s="110"/>
      <c r="BD781" s="110"/>
      <c r="BE781" s="110"/>
      <c r="BF781" s="110"/>
      <c r="BG781" s="110"/>
      <c r="BH781" s="110"/>
      <c r="BI781" s="110"/>
      <c r="BJ781" s="110"/>
      <c r="BK781" s="110"/>
      <c r="BL781" s="110"/>
      <c r="BM781" s="110"/>
      <c r="BN781" s="110"/>
      <c r="BO781" s="110"/>
      <c r="BP781" s="110"/>
      <c r="BQ781" s="110"/>
      <c r="BR781" s="110"/>
      <c r="BS781" s="110"/>
      <c r="BT781" s="110"/>
      <c r="BU781" s="110"/>
      <c r="BV781" s="110"/>
      <c r="BW781" s="110"/>
      <c r="BX781" s="110"/>
      <c r="BY781" s="110"/>
      <c r="BZ781" s="110"/>
      <c r="CA781" s="110"/>
      <c r="CB781" s="110"/>
      <c r="CC781" s="110"/>
    </row>
    <row r="782" spans="1:81" ht="12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  <c r="AS782" s="110"/>
      <c r="AT782" s="110"/>
      <c r="AU782" s="110"/>
      <c r="AV782" s="110"/>
      <c r="AW782" s="110"/>
      <c r="AX782" s="110"/>
      <c r="AY782" s="110"/>
      <c r="AZ782" s="110"/>
      <c r="BA782" s="110"/>
      <c r="BB782" s="110"/>
      <c r="BC782" s="110"/>
      <c r="BD782" s="110"/>
      <c r="BE782" s="110"/>
      <c r="BF782" s="110"/>
      <c r="BG782" s="110"/>
      <c r="BH782" s="110"/>
      <c r="BI782" s="110"/>
      <c r="BJ782" s="110"/>
      <c r="BK782" s="110"/>
      <c r="BL782" s="110"/>
      <c r="BM782" s="110"/>
      <c r="BN782" s="110"/>
      <c r="BO782" s="110"/>
      <c r="BP782" s="110"/>
      <c r="BQ782" s="110"/>
      <c r="BR782" s="110"/>
      <c r="BS782" s="110"/>
      <c r="BT782" s="110"/>
      <c r="BU782" s="110"/>
      <c r="BV782" s="110"/>
      <c r="BW782" s="110"/>
      <c r="BX782" s="110"/>
      <c r="BY782" s="110"/>
      <c r="BZ782" s="110"/>
      <c r="CA782" s="110"/>
      <c r="CB782" s="110"/>
      <c r="CC782" s="110"/>
    </row>
    <row r="783" spans="1:81" ht="12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  <c r="AS783" s="110"/>
      <c r="AT783" s="110"/>
      <c r="AU783" s="110"/>
      <c r="AV783" s="110"/>
      <c r="AW783" s="110"/>
      <c r="AX783" s="110"/>
      <c r="AY783" s="110"/>
      <c r="AZ783" s="110"/>
      <c r="BA783" s="110"/>
      <c r="BB783" s="110"/>
      <c r="BC783" s="110"/>
      <c r="BD783" s="110"/>
      <c r="BE783" s="110"/>
      <c r="BF783" s="110"/>
      <c r="BG783" s="110"/>
      <c r="BH783" s="110"/>
      <c r="BI783" s="110"/>
      <c r="BJ783" s="110"/>
      <c r="BK783" s="110"/>
      <c r="BL783" s="110"/>
      <c r="BM783" s="110"/>
      <c r="BN783" s="110"/>
      <c r="BO783" s="110"/>
      <c r="BP783" s="110"/>
      <c r="BQ783" s="110"/>
      <c r="BR783" s="110"/>
      <c r="BS783" s="110"/>
      <c r="BT783" s="110"/>
      <c r="BU783" s="110"/>
      <c r="BV783" s="110"/>
      <c r="BW783" s="110"/>
      <c r="BX783" s="110"/>
      <c r="BY783" s="110"/>
      <c r="BZ783" s="110"/>
      <c r="CA783" s="110"/>
      <c r="CB783" s="110"/>
      <c r="CC783" s="110"/>
    </row>
    <row r="784" spans="1:81" ht="12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  <c r="AS784" s="110"/>
      <c r="AT784" s="110"/>
      <c r="AU784" s="110"/>
      <c r="AV784" s="110"/>
      <c r="AW784" s="110"/>
      <c r="AX784" s="110"/>
      <c r="AY784" s="110"/>
      <c r="AZ784" s="110"/>
      <c r="BA784" s="110"/>
      <c r="BB784" s="110"/>
      <c r="BC784" s="110"/>
      <c r="BD784" s="110"/>
      <c r="BE784" s="110"/>
      <c r="BF784" s="110"/>
      <c r="BG784" s="110"/>
      <c r="BH784" s="110"/>
      <c r="BI784" s="110"/>
      <c r="BJ784" s="110"/>
      <c r="BK784" s="110"/>
      <c r="BL784" s="110"/>
      <c r="BM784" s="110"/>
      <c r="BN784" s="110"/>
      <c r="BO784" s="110"/>
      <c r="BP784" s="110"/>
      <c r="BQ784" s="110"/>
      <c r="BR784" s="110"/>
      <c r="BS784" s="110"/>
      <c r="BT784" s="110"/>
      <c r="BU784" s="110"/>
      <c r="BV784" s="110"/>
      <c r="BW784" s="110"/>
      <c r="BX784" s="110"/>
      <c r="BY784" s="110"/>
      <c r="BZ784" s="110"/>
      <c r="CA784" s="110"/>
      <c r="CB784" s="110"/>
      <c r="CC784" s="110"/>
    </row>
    <row r="785" spans="1:81" ht="12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  <c r="AS785" s="110"/>
      <c r="AT785" s="110"/>
      <c r="AU785" s="110"/>
      <c r="AV785" s="110"/>
      <c r="AW785" s="110"/>
      <c r="AX785" s="110"/>
      <c r="AY785" s="110"/>
      <c r="AZ785" s="110"/>
      <c r="BA785" s="110"/>
      <c r="BB785" s="110"/>
      <c r="BC785" s="110"/>
      <c r="BD785" s="110"/>
      <c r="BE785" s="110"/>
      <c r="BF785" s="110"/>
      <c r="BG785" s="110"/>
      <c r="BH785" s="110"/>
      <c r="BI785" s="110"/>
      <c r="BJ785" s="110"/>
      <c r="BK785" s="110"/>
      <c r="BL785" s="110"/>
      <c r="BM785" s="110"/>
      <c r="BN785" s="110"/>
      <c r="BO785" s="110"/>
      <c r="BP785" s="110"/>
      <c r="BQ785" s="110"/>
      <c r="BR785" s="110"/>
      <c r="BS785" s="110"/>
      <c r="BT785" s="110"/>
      <c r="BU785" s="110"/>
      <c r="BV785" s="110"/>
      <c r="BW785" s="110"/>
      <c r="BX785" s="110"/>
      <c r="BY785" s="110"/>
      <c r="BZ785" s="110"/>
      <c r="CA785" s="110"/>
      <c r="CB785" s="110"/>
      <c r="CC785" s="110"/>
    </row>
    <row r="786" spans="1:81" ht="12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  <c r="AS786" s="110"/>
      <c r="AT786" s="110"/>
      <c r="AU786" s="110"/>
      <c r="AV786" s="110"/>
      <c r="AW786" s="110"/>
      <c r="AX786" s="110"/>
      <c r="AY786" s="110"/>
      <c r="AZ786" s="110"/>
      <c r="BA786" s="110"/>
      <c r="BB786" s="110"/>
      <c r="BC786" s="110"/>
      <c r="BD786" s="110"/>
      <c r="BE786" s="110"/>
      <c r="BF786" s="110"/>
      <c r="BG786" s="110"/>
      <c r="BH786" s="110"/>
      <c r="BI786" s="110"/>
      <c r="BJ786" s="110"/>
      <c r="BK786" s="110"/>
      <c r="BL786" s="110"/>
      <c r="BM786" s="110"/>
      <c r="BN786" s="110"/>
      <c r="BO786" s="110"/>
      <c r="BP786" s="110"/>
      <c r="BQ786" s="110"/>
      <c r="BR786" s="110"/>
      <c r="BS786" s="110"/>
      <c r="BT786" s="110"/>
      <c r="BU786" s="110"/>
      <c r="BV786" s="110"/>
      <c r="BW786" s="110"/>
      <c r="BX786" s="110"/>
      <c r="BY786" s="110"/>
      <c r="BZ786" s="110"/>
      <c r="CA786" s="110"/>
      <c r="CB786" s="110"/>
      <c r="CC786" s="110"/>
    </row>
    <row r="787" spans="1:81" ht="12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  <c r="AS787" s="110"/>
      <c r="AT787" s="110"/>
      <c r="AU787" s="110"/>
      <c r="AV787" s="110"/>
      <c r="AW787" s="110"/>
      <c r="AX787" s="110"/>
      <c r="AY787" s="110"/>
      <c r="AZ787" s="110"/>
      <c r="BA787" s="110"/>
      <c r="BB787" s="110"/>
      <c r="BC787" s="110"/>
      <c r="BD787" s="110"/>
      <c r="BE787" s="110"/>
      <c r="BF787" s="110"/>
      <c r="BG787" s="110"/>
      <c r="BH787" s="110"/>
      <c r="BI787" s="110"/>
      <c r="BJ787" s="110"/>
      <c r="BK787" s="110"/>
      <c r="BL787" s="110"/>
      <c r="BM787" s="110"/>
      <c r="BN787" s="110"/>
      <c r="BO787" s="110"/>
      <c r="BP787" s="110"/>
      <c r="BQ787" s="110"/>
      <c r="BR787" s="110"/>
      <c r="BS787" s="110"/>
      <c r="BT787" s="110"/>
      <c r="BU787" s="110"/>
      <c r="BV787" s="110"/>
      <c r="BW787" s="110"/>
      <c r="BX787" s="110"/>
      <c r="BY787" s="110"/>
      <c r="BZ787" s="110"/>
      <c r="CA787" s="110"/>
      <c r="CB787" s="110"/>
      <c r="CC787" s="110"/>
    </row>
    <row r="788" spans="1:81" ht="12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  <c r="AS788" s="110"/>
      <c r="AT788" s="110"/>
      <c r="AU788" s="110"/>
      <c r="AV788" s="110"/>
      <c r="AW788" s="110"/>
      <c r="AX788" s="110"/>
      <c r="AY788" s="110"/>
      <c r="AZ788" s="110"/>
      <c r="BA788" s="110"/>
      <c r="BB788" s="110"/>
      <c r="BC788" s="110"/>
      <c r="BD788" s="110"/>
      <c r="BE788" s="110"/>
      <c r="BF788" s="110"/>
      <c r="BG788" s="110"/>
      <c r="BH788" s="110"/>
      <c r="BI788" s="110"/>
      <c r="BJ788" s="110"/>
      <c r="BK788" s="110"/>
      <c r="BL788" s="110"/>
      <c r="BM788" s="110"/>
      <c r="BN788" s="110"/>
      <c r="BO788" s="110"/>
      <c r="BP788" s="110"/>
      <c r="BQ788" s="110"/>
      <c r="BR788" s="110"/>
      <c r="BS788" s="110"/>
      <c r="BT788" s="110"/>
      <c r="BU788" s="110"/>
      <c r="BV788" s="110"/>
      <c r="BW788" s="110"/>
      <c r="BX788" s="110"/>
      <c r="BY788" s="110"/>
      <c r="BZ788" s="110"/>
      <c r="CA788" s="110"/>
      <c r="CB788" s="110"/>
      <c r="CC788" s="110"/>
    </row>
    <row r="789" spans="1:81" ht="12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  <c r="AU789" s="110"/>
      <c r="AV789" s="110"/>
      <c r="AW789" s="110"/>
      <c r="AX789" s="110"/>
      <c r="AY789" s="110"/>
      <c r="AZ789" s="110"/>
      <c r="BA789" s="110"/>
      <c r="BB789" s="110"/>
      <c r="BC789" s="110"/>
      <c r="BD789" s="110"/>
      <c r="BE789" s="110"/>
      <c r="BF789" s="110"/>
      <c r="BG789" s="110"/>
      <c r="BH789" s="110"/>
      <c r="BI789" s="110"/>
      <c r="BJ789" s="110"/>
      <c r="BK789" s="110"/>
      <c r="BL789" s="110"/>
      <c r="BM789" s="110"/>
      <c r="BN789" s="110"/>
      <c r="BO789" s="110"/>
      <c r="BP789" s="110"/>
      <c r="BQ789" s="110"/>
      <c r="BR789" s="110"/>
      <c r="BS789" s="110"/>
      <c r="BT789" s="110"/>
      <c r="BU789" s="110"/>
      <c r="BV789" s="110"/>
      <c r="BW789" s="110"/>
      <c r="BX789" s="110"/>
      <c r="BY789" s="110"/>
      <c r="BZ789" s="110"/>
      <c r="CA789" s="110"/>
      <c r="CB789" s="110"/>
      <c r="CC789" s="110"/>
    </row>
    <row r="790" spans="1:81" ht="12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  <c r="AS790" s="110"/>
      <c r="AT790" s="110"/>
      <c r="AU790" s="110"/>
      <c r="AV790" s="110"/>
      <c r="AW790" s="110"/>
      <c r="AX790" s="110"/>
      <c r="AY790" s="110"/>
      <c r="AZ790" s="110"/>
      <c r="BA790" s="110"/>
      <c r="BB790" s="110"/>
      <c r="BC790" s="110"/>
      <c r="BD790" s="110"/>
      <c r="BE790" s="110"/>
      <c r="BF790" s="110"/>
      <c r="BG790" s="110"/>
      <c r="BH790" s="110"/>
      <c r="BI790" s="110"/>
      <c r="BJ790" s="110"/>
      <c r="BK790" s="110"/>
      <c r="BL790" s="110"/>
      <c r="BM790" s="110"/>
      <c r="BN790" s="110"/>
      <c r="BO790" s="110"/>
      <c r="BP790" s="110"/>
      <c r="BQ790" s="110"/>
      <c r="BR790" s="110"/>
      <c r="BS790" s="110"/>
      <c r="BT790" s="110"/>
      <c r="BU790" s="110"/>
      <c r="BV790" s="110"/>
      <c r="BW790" s="110"/>
      <c r="BX790" s="110"/>
      <c r="BY790" s="110"/>
      <c r="BZ790" s="110"/>
      <c r="CA790" s="110"/>
      <c r="CB790" s="110"/>
      <c r="CC790" s="110"/>
    </row>
    <row r="791" spans="1:81" ht="12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  <c r="AU791" s="110"/>
      <c r="AV791" s="110"/>
      <c r="AW791" s="110"/>
      <c r="AX791" s="110"/>
      <c r="AY791" s="110"/>
      <c r="AZ791" s="110"/>
      <c r="BA791" s="110"/>
      <c r="BB791" s="110"/>
      <c r="BC791" s="110"/>
      <c r="BD791" s="110"/>
      <c r="BE791" s="110"/>
      <c r="BF791" s="110"/>
      <c r="BG791" s="110"/>
      <c r="BH791" s="110"/>
      <c r="BI791" s="110"/>
      <c r="BJ791" s="110"/>
      <c r="BK791" s="110"/>
      <c r="BL791" s="110"/>
      <c r="BM791" s="110"/>
      <c r="BN791" s="110"/>
      <c r="BO791" s="110"/>
      <c r="BP791" s="110"/>
      <c r="BQ791" s="110"/>
      <c r="BR791" s="110"/>
      <c r="BS791" s="110"/>
      <c r="BT791" s="110"/>
      <c r="BU791" s="110"/>
      <c r="BV791" s="110"/>
      <c r="BW791" s="110"/>
      <c r="BX791" s="110"/>
      <c r="BY791" s="110"/>
      <c r="BZ791" s="110"/>
      <c r="CA791" s="110"/>
      <c r="CB791" s="110"/>
      <c r="CC791" s="110"/>
    </row>
    <row r="792" spans="1:81" ht="12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  <c r="AU792" s="110"/>
      <c r="AV792" s="110"/>
      <c r="AW792" s="110"/>
      <c r="AX792" s="110"/>
      <c r="AY792" s="110"/>
      <c r="AZ792" s="110"/>
      <c r="BA792" s="110"/>
      <c r="BB792" s="110"/>
      <c r="BC792" s="110"/>
      <c r="BD792" s="110"/>
      <c r="BE792" s="110"/>
      <c r="BF792" s="110"/>
      <c r="BG792" s="110"/>
      <c r="BH792" s="110"/>
      <c r="BI792" s="110"/>
      <c r="BJ792" s="110"/>
      <c r="BK792" s="110"/>
      <c r="BL792" s="110"/>
      <c r="BM792" s="110"/>
      <c r="BN792" s="110"/>
      <c r="BO792" s="110"/>
      <c r="BP792" s="110"/>
      <c r="BQ792" s="110"/>
      <c r="BR792" s="110"/>
      <c r="BS792" s="110"/>
      <c r="BT792" s="110"/>
      <c r="BU792" s="110"/>
      <c r="BV792" s="110"/>
      <c r="BW792" s="110"/>
      <c r="BX792" s="110"/>
      <c r="BY792" s="110"/>
      <c r="BZ792" s="110"/>
      <c r="CA792" s="110"/>
      <c r="CB792" s="110"/>
      <c r="CC792" s="110"/>
    </row>
    <row r="793" spans="1:81" ht="12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  <c r="AU793" s="110"/>
      <c r="AV793" s="110"/>
      <c r="AW793" s="110"/>
      <c r="AX793" s="110"/>
      <c r="AY793" s="110"/>
      <c r="AZ793" s="110"/>
      <c r="BA793" s="110"/>
      <c r="BB793" s="110"/>
      <c r="BC793" s="110"/>
      <c r="BD793" s="110"/>
      <c r="BE793" s="110"/>
      <c r="BF793" s="110"/>
      <c r="BG793" s="110"/>
      <c r="BH793" s="110"/>
      <c r="BI793" s="110"/>
      <c r="BJ793" s="110"/>
      <c r="BK793" s="110"/>
      <c r="BL793" s="110"/>
      <c r="BM793" s="110"/>
      <c r="BN793" s="110"/>
      <c r="BO793" s="110"/>
      <c r="BP793" s="110"/>
      <c r="BQ793" s="110"/>
      <c r="BR793" s="110"/>
      <c r="BS793" s="110"/>
      <c r="BT793" s="110"/>
      <c r="BU793" s="110"/>
      <c r="BV793" s="110"/>
      <c r="BW793" s="110"/>
      <c r="BX793" s="110"/>
      <c r="BY793" s="110"/>
      <c r="BZ793" s="110"/>
      <c r="CA793" s="110"/>
      <c r="CB793" s="110"/>
      <c r="CC793" s="110"/>
    </row>
    <row r="794" spans="1:81" ht="12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  <c r="AU794" s="110"/>
      <c r="AV794" s="110"/>
      <c r="AW794" s="110"/>
      <c r="AX794" s="110"/>
      <c r="AY794" s="110"/>
      <c r="AZ794" s="110"/>
      <c r="BA794" s="110"/>
      <c r="BB794" s="110"/>
      <c r="BC794" s="110"/>
      <c r="BD794" s="110"/>
      <c r="BE794" s="110"/>
      <c r="BF794" s="110"/>
      <c r="BG794" s="110"/>
      <c r="BH794" s="110"/>
      <c r="BI794" s="110"/>
      <c r="BJ794" s="110"/>
      <c r="BK794" s="110"/>
      <c r="BL794" s="110"/>
      <c r="BM794" s="110"/>
      <c r="BN794" s="110"/>
      <c r="BO794" s="110"/>
      <c r="BP794" s="110"/>
      <c r="BQ794" s="110"/>
      <c r="BR794" s="110"/>
      <c r="BS794" s="110"/>
      <c r="BT794" s="110"/>
      <c r="BU794" s="110"/>
      <c r="BV794" s="110"/>
      <c r="BW794" s="110"/>
      <c r="BX794" s="110"/>
      <c r="BY794" s="110"/>
      <c r="BZ794" s="110"/>
      <c r="CA794" s="110"/>
      <c r="CB794" s="110"/>
      <c r="CC794" s="110"/>
    </row>
    <row r="795" spans="1:81" ht="12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  <c r="AU795" s="110"/>
      <c r="AV795" s="110"/>
      <c r="AW795" s="110"/>
      <c r="AX795" s="110"/>
      <c r="AY795" s="110"/>
      <c r="AZ795" s="110"/>
      <c r="BA795" s="110"/>
      <c r="BB795" s="110"/>
      <c r="BC795" s="110"/>
      <c r="BD795" s="110"/>
      <c r="BE795" s="110"/>
      <c r="BF795" s="110"/>
      <c r="BG795" s="110"/>
      <c r="BH795" s="110"/>
      <c r="BI795" s="110"/>
      <c r="BJ795" s="110"/>
      <c r="BK795" s="110"/>
      <c r="BL795" s="110"/>
      <c r="BM795" s="110"/>
      <c r="BN795" s="110"/>
      <c r="BO795" s="110"/>
      <c r="BP795" s="110"/>
      <c r="BQ795" s="110"/>
      <c r="BR795" s="110"/>
      <c r="BS795" s="110"/>
      <c r="BT795" s="110"/>
      <c r="BU795" s="110"/>
      <c r="BV795" s="110"/>
      <c r="BW795" s="110"/>
      <c r="BX795" s="110"/>
      <c r="BY795" s="110"/>
      <c r="BZ795" s="110"/>
      <c r="CA795" s="110"/>
      <c r="CB795" s="110"/>
      <c r="CC795" s="110"/>
    </row>
    <row r="796" spans="1:81" ht="12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  <c r="AU796" s="110"/>
      <c r="AV796" s="110"/>
      <c r="AW796" s="110"/>
      <c r="AX796" s="110"/>
      <c r="AY796" s="110"/>
      <c r="AZ796" s="110"/>
      <c r="BA796" s="110"/>
      <c r="BB796" s="110"/>
      <c r="BC796" s="110"/>
      <c r="BD796" s="110"/>
      <c r="BE796" s="110"/>
      <c r="BF796" s="110"/>
      <c r="BG796" s="110"/>
      <c r="BH796" s="110"/>
      <c r="BI796" s="110"/>
      <c r="BJ796" s="110"/>
      <c r="BK796" s="110"/>
      <c r="BL796" s="110"/>
      <c r="BM796" s="110"/>
      <c r="BN796" s="110"/>
      <c r="BO796" s="110"/>
      <c r="BP796" s="110"/>
      <c r="BQ796" s="110"/>
      <c r="BR796" s="110"/>
      <c r="BS796" s="110"/>
      <c r="BT796" s="110"/>
      <c r="BU796" s="110"/>
      <c r="BV796" s="110"/>
      <c r="BW796" s="110"/>
      <c r="BX796" s="110"/>
      <c r="BY796" s="110"/>
      <c r="BZ796" s="110"/>
      <c r="CA796" s="110"/>
      <c r="CB796" s="110"/>
      <c r="CC796" s="110"/>
    </row>
    <row r="797" spans="1:81" ht="12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  <c r="AV797" s="110"/>
      <c r="AW797" s="110"/>
      <c r="AX797" s="110"/>
      <c r="AY797" s="110"/>
      <c r="AZ797" s="110"/>
      <c r="BA797" s="110"/>
      <c r="BB797" s="110"/>
      <c r="BC797" s="110"/>
      <c r="BD797" s="110"/>
      <c r="BE797" s="110"/>
      <c r="BF797" s="110"/>
      <c r="BG797" s="110"/>
      <c r="BH797" s="110"/>
      <c r="BI797" s="110"/>
      <c r="BJ797" s="110"/>
      <c r="BK797" s="110"/>
      <c r="BL797" s="110"/>
      <c r="BM797" s="110"/>
      <c r="BN797" s="110"/>
      <c r="BO797" s="110"/>
      <c r="BP797" s="110"/>
      <c r="BQ797" s="110"/>
      <c r="BR797" s="110"/>
      <c r="BS797" s="110"/>
      <c r="BT797" s="110"/>
      <c r="BU797" s="110"/>
      <c r="BV797" s="110"/>
      <c r="BW797" s="110"/>
      <c r="BX797" s="110"/>
      <c r="BY797" s="110"/>
      <c r="BZ797" s="110"/>
      <c r="CA797" s="110"/>
      <c r="CB797" s="110"/>
      <c r="CC797" s="110"/>
    </row>
    <row r="798" spans="1:81" ht="12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  <c r="AU798" s="110"/>
      <c r="AV798" s="110"/>
      <c r="AW798" s="110"/>
      <c r="AX798" s="110"/>
      <c r="AY798" s="110"/>
      <c r="AZ798" s="110"/>
      <c r="BA798" s="110"/>
      <c r="BB798" s="110"/>
      <c r="BC798" s="110"/>
      <c r="BD798" s="110"/>
      <c r="BE798" s="110"/>
      <c r="BF798" s="110"/>
      <c r="BG798" s="110"/>
      <c r="BH798" s="110"/>
      <c r="BI798" s="110"/>
      <c r="BJ798" s="110"/>
      <c r="BK798" s="110"/>
      <c r="BL798" s="110"/>
      <c r="BM798" s="110"/>
      <c r="BN798" s="110"/>
      <c r="BO798" s="110"/>
      <c r="BP798" s="110"/>
      <c r="BQ798" s="110"/>
      <c r="BR798" s="110"/>
      <c r="BS798" s="110"/>
      <c r="BT798" s="110"/>
      <c r="BU798" s="110"/>
      <c r="BV798" s="110"/>
      <c r="BW798" s="110"/>
      <c r="BX798" s="110"/>
      <c r="BY798" s="110"/>
      <c r="BZ798" s="110"/>
      <c r="CA798" s="110"/>
      <c r="CB798" s="110"/>
      <c r="CC798" s="110"/>
    </row>
    <row r="799" spans="1:81" ht="12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  <c r="AU799" s="110"/>
      <c r="AV799" s="110"/>
      <c r="AW799" s="110"/>
      <c r="AX799" s="110"/>
      <c r="AY799" s="110"/>
      <c r="AZ799" s="110"/>
      <c r="BA799" s="110"/>
      <c r="BB799" s="110"/>
      <c r="BC799" s="110"/>
      <c r="BD799" s="110"/>
      <c r="BE799" s="110"/>
      <c r="BF799" s="110"/>
      <c r="BG799" s="110"/>
      <c r="BH799" s="110"/>
      <c r="BI799" s="110"/>
      <c r="BJ799" s="110"/>
      <c r="BK799" s="110"/>
      <c r="BL799" s="110"/>
      <c r="BM799" s="110"/>
      <c r="BN799" s="110"/>
      <c r="BO799" s="110"/>
      <c r="BP799" s="110"/>
      <c r="BQ799" s="110"/>
      <c r="BR799" s="110"/>
      <c r="BS799" s="110"/>
      <c r="BT799" s="110"/>
      <c r="BU799" s="110"/>
      <c r="BV799" s="110"/>
      <c r="BW799" s="110"/>
      <c r="BX799" s="110"/>
      <c r="BY799" s="110"/>
      <c r="BZ799" s="110"/>
      <c r="CA799" s="110"/>
      <c r="CB799" s="110"/>
      <c r="CC799" s="110"/>
    </row>
    <row r="800" spans="1:81" ht="12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  <c r="AU800" s="110"/>
      <c r="AV800" s="110"/>
      <c r="AW800" s="110"/>
      <c r="AX800" s="110"/>
      <c r="AY800" s="110"/>
      <c r="AZ800" s="110"/>
      <c r="BA800" s="110"/>
      <c r="BB800" s="110"/>
      <c r="BC800" s="110"/>
      <c r="BD800" s="110"/>
      <c r="BE800" s="110"/>
      <c r="BF800" s="110"/>
      <c r="BG800" s="110"/>
      <c r="BH800" s="110"/>
      <c r="BI800" s="110"/>
      <c r="BJ800" s="110"/>
      <c r="BK800" s="110"/>
      <c r="BL800" s="110"/>
      <c r="BM800" s="110"/>
      <c r="BN800" s="110"/>
      <c r="BO800" s="110"/>
      <c r="BP800" s="110"/>
      <c r="BQ800" s="110"/>
      <c r="BR800" s="110"/>
      <c r="BS800" s="110"/>
      <c r="BT800" s="110"/>
      <c r="BU800" s="110"/>
      <c r="BV800" s="110"/>
      <c r="BW800" s="110"/>
      <c r="BX800" s="110"/>
      <c r="BY800" s="110"/>
      <c r="BZ800" s="110"/>
      <c r="CA800" s="110"/>
      <c r="CB800" s="110"/>
      <c r="CC800" s="110"/>
    </row>
    <row r="801" spans="1:81" ht="12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  <c r="AV801" s="110"/>
      <c r="AW801" s="110"/>
      <c r="AX801" s="110"/>
      <c r="AY801" s="110"/>
      <c r="AZ801" s="110"/>
      <c r="BA801" s="110"/>
      <c r="BB801" s="110"/>
      <c r="BC801" s="110"/>
      <c r="BD801" s="110"/>
      <c r="BE801" s="110"/>
      <c r="BF801" s="110"/>
      <c r="BG801" s="110"/>
      <c r="BH801" s="110"/>
      <c r="BI801" s="110"/>
      <c r="BJ801" s="110"/>
      <c r="BK801" s="110"/>
      <c r="BL801" s="110"/>
      <c r="BM801" s="110"/>
      <c r="BN801" s="110"/>
      <c r="BO801" s="110"/>
      <c r="BP801" s="110"/>
      <c r="BQ801" s="110"/>
      <c r="BR801" s="110"/>
      <c r="BS801" s="110"/>
      <c r="BT801" s="110"/>
      <c r="BU801" s="110"/>
      <c r="BV801" s="110"/>
      <c r="BW801" s="110"/>
      <c r="BX801" s="110"/>
      <c r="BY801" s="110"/>
      <c r="BZ801" s="110"/>
      <c r="CA801" s="110"/>
      <c r="CB801" s="110"/>
      <c r="CC801" s="110"/>
    </row>
    <row r="802" spans="1:81" ht="12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  <c r="AU802" s="110"/>
      <c r="AV802" s="110"/>
      <c r="AW802" s="110"/>
      <c r="AX802" s="110"/>
      <c r="AY802" s="110"/>
      <c r="AZ802" s="110"/>
      <c r="BA802" s="110"/>
      <c r="BB802" s="110"/>
      <c r="BC802" s="110"/>
      <c r="BD802" s="110"/>
      <c r="BE802" s="110"/>
      <c r="BF802" s="110"/>
      <c r="BG802" s="110"/>
      <c r="BH802" s="110"/>
      <c r="BI802" s="110"/>
      <c r="BJ802" s="110"/>
      <c r="BK802" s="110"/>
      <c r="BL802" s="110"/>
      <c r="BM802" s="110"/>
      <c r="BN802" s="110"/>
      <c r="BO802" s="110"/>
      <c r="BP802" s="110"/>
      <c r="BQ802" s="110"/>
      <c r="BR802" s="110"/>
      <c r="BS802" s="110"/>
      <c r="BT802" s="110"/>
      <c r="BU802" s="110"/>
      <c r="BV802" s="110"/>
      <c r="BW802" s="110"/>
      <c r="BX802" s="110"/>
      <c r="BY802" s="110"/>
      <c r="BZ802" s="110"/>
      <c r="CA802" s="110"/>
      <c r="CB802" s="110"/>
      <c r="CC802" s="110"/>
    </row>
    <row r="803" spans="1:81" ht="12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  <c r="AU803" s="110"/>
      <c r="AV803" s="110"/>
      <c r="AW803" s="110"/>
      <c r="AX803" s="110"/>
      <c r="AY803" s="110"/>
      <c r="AZ803" s="110"/>
      <c r="BA803" s="110"/>
      <c r="BB803" s="110"/>
      <c r="BC803" s="110"/>
      <c r="BD803" s="110"/>
      <c r="BE803" s="110"/>
      <c r="BF803" s="110"/>
      <c r="BG803" s="110"/>
      <c r="BH803" s="110"/>
      <c r="BI803" s="110"/>
      <c r="BJ803" s="110"/>
      <c r="BK803" s="110"/>
      <c r="BL803" s="110"/>
      <c r="BM803" s="110"/>
      <c r="BN803" s="110"/>
      <c r="BO803" s="110"/>
      <c r="BP803" s="110"/>
      <c r="BQ803" s="110"/>
      <c r="BR803" s="110"/>
      <c r="BS803" s="110"/>
      <c r="BT803" s="110"/>
      <c r="BU803" s="110"/>
      <c r="BV803" s="110"/>
      <c r="BW803" s="110"/>
      <c r="BX803" s="110"/>
      <c r="BY803" s="110"/>
      <c r="BZ803" s="110"/>
      <c r="CA803" s="110"/>
      <c r="CB803" s="110"/>
      <c r="CC803" s="110"/>
    </row>
    <row r="804" spans="1:81" ht="12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  <c r="AU804" s="110"/>
      <c r="AV804" s="110"/>
      <c r="AW804" s="110"/>
      <c r="AX804" s="110"/>
      <c r="AY804" s="110"/>
      <c r="AZ804" s="110"/>
      <c r="BA804" s="110"/>
      <c r="BB804" s="110"/>
      <c r="BC804" s="110"/>
      <c r="BD804" s="110"/>
      <c r="BE804" s="110"/>
      <c r="BF804" s="110"/>
      <c r="BG804" s="110"/>
      <c r="BH804" s="110"/>
      <c r="BI804" s="110"/>
      <c r="BJ804" s="110"/>
      <c r="BK804" s="110"/>
      <c r="BL804" s="110"/>
      <c r="BM804" s="110"/>
      <c r="BN804" s="110"/>
      <c r="BO804" s="110"/>
      <c r="BP804" s="110"/>
      <c r="BQ804" s="110"/>
      <c r="BR804" s="110"/>
      <c r="BS804" s="110"/>
      <c r="BT804" s="110"/>
      <c r="BU804" s="110"/>
      <c r="BV804" s="110"/>
      <c r="BW804" s="110"/>
      <c r="BX804" s="110"/>
      <c r="BY804" s="110"/>
      <c r="BZ804" s="110"/>
      <c r="CA804" s="110"/>
      <c r="CB804" s="110"/>
      <c r="CC804" s="110"/>
    </row>
    <row r="805" spans="1:81" ht="12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  <c r="AU805" s="110"/>
      <c r="AV805" s="110"/>
      <c r="AW805" s="110"/>
      <c r="AX805" s="110"/>
      <c r="AY805" s="110"/>
      <c r="AZ805" s="110"/>
      <c r="BA805" s="110"/>
      <c r="BB805" s="110"/>
      <c r="BC805" s="110"/>
      <c r="BD805" s="110"/>
      <c r="BE805" s="110"/>
      <c r="BF805" s="110"/>
      <c r="BG805" s="110"/>
      <c r="BH805" s="110"/>
      <c r="BI805" s="110"/>
      <c r="BJ805" s="110"/>
      <c r="BK805" s="110"/>
      <c r="BL805" s="110"/>
      <c r="BM805" s="110"/>
      <c r="BN805" s="110"/>
      <c r="BO805" s="110"/>
      <c r="BP805" s="110"/>
      <c r="BQ805" s="110"/>
      <c r="BR805" s="110"/>
      <c r="BS805" s="110"/>
      <c r="BT805" s="110"/>
      <c r="BU805" s="110"/>
      <c r="BV805" s="110"/>
      <c r="BW805" s="110"/>
      <c r="BX805" s="110"/>
      <c r="BY805" s="110"/>
      <c r="BZ805" s="110"/>
      <c r="CA805" s="110"/>
      <c r="CB805" s="110"/>
      <c r="CC805" s="110"/>
    </row>
    <row r="806" spans="1:81" ht="12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  <c r="AS806" s="110"/>
      <c r="AT806" s="110"/>
      <c r="AU806" s="110"/>
      <c r="AV806" s="110"/>
      <c r="AW806" s="110"/>
      <c r="AX806" s="110"/>
      <c r="AY806" s="110"/>
      <c r="AZ806" s="110"/>
      <c r="BA806" s="110"/>
      <c r="BB806" s="110"/>
      <c r="BC806" s="110"/>
      <c r="BD806" s="110"/>
      <c r="BE806" s="110"/>
      <c r="BF806" s="110"/>
      <c r="BG806" s="110"/>
      <c r="BH806" s="110"/>
      <c r="BI806" s="110"/>
      <c r="BJ806" s="110"/>
      <c r="BK806" s="110"/>
      <c r="BL806" s="110"/>
      <c r="BM806" s="110"/>
      <c r="BN806" s="110"/>
      <c r="BO806" s="110"/>
      <c r="BP806" s="110"/>
      <c r="BQ806" s="110"/>
      <c r="BR806" s="110"/>
      <c r="BS806" s="110"/>
      <c r="BT806" s="110"/>
      <c r="BU806" s="110"/>
      <c r="BV806" s="110"/>
      <c r="BW806" s="110"/>
      <c r="BX806" s="110"/>
      <c r="BY806" s="110"/>
      <c r="BZ806" s="110"/>
      <c r="CA806" s="110"/>
      <c r="CB806" s="110"/>
      <c r="CC806" s="110"/>
    </row>
    <row r="807" spans="1:81" ht="12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  <c r="AS807" s="110"/>
      <c r="AT807" s="110"/>
      <c r="AU807" s="110"/>
      <c r="AV807" s="110"/>
      <c r="AW807" s="110"/>
      <c r="AX807" s="110"/>
      <c r="AY807" s="110"/>
      <c r="AZ807" s="110"/>
      <c r="BA807" s="110"/>
      <c r="BB807" s="110"/>
      <c r="BC807" s="110"/>
      <c r="BD807" s="110"/>
      <c r="BE807" s="110"/>
      <c r="BF807" s="110"/>
      <c r="BG807" s="110"/>
      <c r="BH807" s="110"/>
      <c r="BI807" s="110"/>
      <c r="BJ807" s="110"/>
      <c r="BK807" s="110"/>
      <c r="BL807" s="110"/>
      <c r="BM807" s="110"/>
      <c r="BN807" s="110"/>
      <c r="BO807" s="110"/>
      <c r="BP807" s="110"/>
      <c r="BQ807" s="110"/>
      <c r="BR807" s="110"/>
      <c r="BS807" s="110"/>
      <c r="BT807" s="110"/>
      <c r="BU807" s="110"/>
      <c r="BV807" s="110"/>
      <c r="BW807" s="110"/>
      <c r="BX807" s="110"/>
      <c r="BY807" s="110"/>
      <c r="BZ807" s="110"/>
      <c r="CA807" s="110"/>
      <c r="CB807" s="110"/>
      <c r="CC807" s="110"/>
    </row>
    <row r="808" spans="1:81" ht="12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  <c r="AU808" s="110"/>
      <c r="AV808" s="110"/>
      <c r="AW808" s="110"/>
      <c r="AX808" s="110"/>
      <c r="AY808" s="110"/>
      <c r="AZ808" s="110"/>
      <c r="BA808" s="110"/>
      <c r="BB808" s="110"/>
      <c r="BC808" s="110"/>
      <c r="BD808" s="110"/>
      <c r="BE808" s="110"/>
      <c r="BF808" s="110"/>
      <c r="BG808" s="110"/>
      <c r="BH808" s="110"/>
      <c r="BI808" s="110"/>
      <c r="BJ808" s="110"/>
      <c r="BK808" s="110"/>
      <c r="BL808" s="110"/>
      <c r="BM808" s="110"/>
      <c r="BN808" s="110"/>
      <c r="BO808" s="110"/>
      <c r="BP808" s="110"/>
      <c r="BQ808" s="110"/>
      <c r="BR808" s="110"/>
      <c r="BS808" s="110"/>
      <c r="BT808" s="110"/>
      <c r="BU808" s="110"/>
      <c r="BV808" s="110"/>
      <c r="BW808" s="110"/>
      <c r="BX808" s="110"/>
      <c r="BY808" s="110"/>
      <c r="BZ808" s="110"/>
      <c r="CA808" s="110"/>
      <c r="CB808" s="110"/>
      <c r="CC808" s="110"/>
    </row>
    <row r="809" spans="1:81" ht="12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  <c r="AU809" s="110"/>
      <c r="AV809" s="110"/>
      <c r="AW809" s="110"/>
      <c r="AX809" s="110"/>
      <c r="AY809" s="110"/>
      <c r="AZ809" s="110"/>
      <c r="BA809" s="110"/>
      <c r="BB809" s="110"/>
      <c r="BC809" s="110"/>
      <c r="BD809" s="110"/>
      <c r="BE809" s="110"/>
      <c r="BF809" s="110"/>
      <c r="BG809" s="110"/>
      <c r="BH809" s="110"/>
      <c r="BI809" s="110"/>
      <c r="BJ809" s="110"/>
      <c r="BK809" s="110"/>
      <c r="BL809" s="110"/>
      <c r="BM809" s="110"/>
      <c r="BN809" s="110"/>
      <c r="BO809" s="110"/>
      <c r="BP809" s="110"/>
      <c r="BQ809" s="110"/>
      <c r="BR809" s="110"/>
      <c r="BS809" s="110"/>
      <c r="BT809" s="110"/>
      <c r="BU809" s="110"/>
      <c r="BV809" s="110"/>
      <c r="BW809" s="110"/>
      <c r="BX809" s="110"/>
      <c r="BY809" s="110"/>
      <c r="BZ809" s="110"/>
      <c r="CA809" s="110"/>
      <c r="CB809" s="110"/>
      <c r="CC809" s="110"/>
    </row>
    <row r="810" spans="1:81" ht="12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  <c r="AU810" s="110"/>
      <c r="AV810" s="110"/>
      <c r="AW810" s="110"/>
      <c r="AX810" s="110"/>
      <c r="AY810" s="110"/>
      <c r="AZ810" s="110"/>
      <c r="BA810" s="110"/>
      <c r="BB810" s="110"/>
      <c r="BC810" s="110"/>
      <c r="BD810" s="110"/>
      <c r="BE810" s="110"/>
      <c r="BF810" s="110"/>
      <c r="BG810" s="110"/>
      <c r="BH810" s="110"/>
      <c r="BI810" s="110"/>
      <c r="BJ810" s="110"/>
      <c r="BK810" s="110"/>
      <c r="BL810" s="110"/>
      <c r="BM810" s="110"/>
      <c r="BN810" s="110"/>
      <c r="BO810" s="110"/>
      <c r="BP810" s="110"/>
      <c r="BQ810" s="110"/>
      <c r="BR810" s="110"/>
      <c r="BS810" s="110"/>
      <c r="BT810" s="110"/>
      <c r="BU810" s="110"/>
      <c r="BV810" s="110"/>
      <c r="BW810" s="110"/>
      <c r="BX810" s="110"/>
      <c r="BY810" s="110"/>
      <c r="BZ810" s="110"/>
      <c r="CA810" s="110"/>
      <c r="CB810" s="110"/>
      <c r="CC810" s="110"/>
    </row>
    <row r="811" spans="1:81" ht="12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  <c r="AU811" s="110"/>
      <c r="AV811" s="110"/>
      <c r="AW811" s="110"/>
      <c r="AX811" s="110"/>
      <c r="AY811" s="110"/>
      <c r="AZ811" s="110"/>
      <c r="BA811" s="110"/>
      <c r="BB811" s="110"/>
      <c r="BC811" s="110"/>
      <c r="BD811" s="110"/>
      <c r="BE811" s="110"/>
      <c r="BF811" s="110"/>
      <c r="BG811" s="110"/>
      <c r="BH811" s="110"/>
      <c r="BI811" s="110"/>
      <c r="BJ811" s="110"/>
      <c r="BK811" s="110"/>
      <c r="BL811" s="110"/>
      <c r="BM811" s="110"/>
      <c r="BN811" s="110"/>
      <c r="BO811" s="110"/>
      <c r="BP811" s="110"/>
      <c r="BQ811" s="110"/>
      <c r="BR811" s="110"/>
      <c r="BS811" s="110"/>
      <c r="BT811" s="110"/>
      <c r="BU811" s="110"/>
      <c r="BV811" s="110"/>
      <c r="BW811" s="110"/>
      <c r="BX811" s="110"/>
      <c r="BY811" s="110"/>
      <c r="BZ811" s="110"/>
      <c r="CA811" s="110"/>
      <c r="CB811" s="110"/>
      <c r="CC811" s="110"/>
    </row>
    <row r="812" spans="1:81" ht="12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  <c r="AU812" s="110"/>
      <c r="AV812" s="110"/>
      <c r="AW812" s="110"/>
      <c r="AX812" s="110"/>
      <c r="AY812" s="110"/>
      <c r="AZ812" s="110"/>
      <c r="BA812" s="110"/>
      <c r="BB812" s="110"/>
      <c r="BC812" s="110"/>
      <c r="BD812" s="110"/>
      <c r="BE812" s="110"/>
      <c r="BF812" s="110"/>
      <c r="BG812" s="110"/>
      <c r="BH812" s="110"/>
      <c r="BI812" s="110"/>
      <c r="BJ812" s="110"/>
      <c r="BK812" s="110"/>
      <c r="BL812" s="110"/>
      <c r="BM812" s="110"/>
      <c r="BN812" s="110"/>
      <c r="BO812" s="110"/>
      <c r="BP812" s="110"/>
      <c r="BQ812" s="110"/>
      <c r="BR812" s="110"/>
      <c r="BS812" s="110"/>
      <c r="BT812" s="110"/>
      <c r="BU812" s="110"/>
      <c r="BV812" s="110"/>
      <c r="BW812" s="110"/>
      <c r="BX812" s="110"/>
      <c r="BY812" s="110"/>
      <c r="BZ812" s="110"/>
      <c r="CA812" s="110"/>
      <c r="CB812" s="110"/>
      <c r="CC812" s="110"/>
    </row>
    <row r="813" spans="1:81" ht="12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  <c r="AS813" s="110"/>
      <c r="AT813" s="110"/>
      <c r="AU813" s="110"/>
      <c r="AV813" s="110"/>
      <c r="AW813" s="110"/>
      <c r="AX813" s="110"/>
      <c r="AY813" s="110"/>
      <c r="AZ813" s="110"/>
      <c r="BA813" s="110"/>
      <c r="BB813" s="110"/>
      <c r="BC813" s="110"/>
      <c r="BD813" s="110"/>
      <c r="BE813" s="110"/>
      <c r="BF813" s="110"/>
      <c r="BG813" s="110"/>
      <c r="BH813" s="110"/>
      <c r="BI813" s="110"/>
      <c r="BJ813" s="110"/>
      <c r="BK813" s="110"/>
      <c r="BL813" s="110"/>
      <c r="BM813" s="110"/>
      <c r="BN813" s="110"/>
      <c r="BO813" s="110"/>
      <c r="BP813" s="110"/>
      <c r="BQ813" s="110"/>
      <c r="BR813" s="110"/>
      <c r="BS813" s="110"/>
      <c r="BT813" s="110"/>
      <c r="BU813" s="110"/>
      <c r="BV813" s="110"/>
      <c r="BW813" s="110"/>
      <c r="BX813" s="110"/>
      <c r="BY813" s="110"/>
      <c r="BZ813" s="110"/>
      <c r="CA813" s="110"/>
      <c r="CB813" s="110"/>
      <c r="CC813" s="110"/>
    </row>
    <row r="814" spans="1:81" ht="12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  <c r="AU814" s="110"/>
      <c r="AV814" s="110"/>
      <c r="AW814" s="110"/>
      <c r="AX814" s="110"/>
      <c r="AY814" s="110"/>
      <c r="AZ814" s="110"/>
      <c r="BA814" s="110"/>
      <c r="BB814" s="110"/>
      <c r="BC814" s="110"/>
      <c r="BD814" s="110"/>
      <c r="BE814" s="110"/>
      <c r="BF814" s="110"/>
      <c r="BG814" s="110"/>
      <c r="BH814" s="110"/>
      <c r="BI814" s="110"/>
      <c r="BJ814" s="110"/>
      <c r="BK814" s="110"/>
      <c r="BL814" s="110"/>
      <c r="BM814" s="110"/>
      <c r="BN814" s="110"/>
      <c r="BO814" s="110"/>
      <c r="BP814" s="110"/>
      <c r="BQ814" s="110"/>
      <c r="BR814" s="110"/>
      <c r="BS814" s="110"/>
      <c r="BT814" s="110"/>
      <c r="BU814" s="110"/>
      <c r="BV814" s="110"/>
      <c r="BW814" s="110"/>
      <c r="BX814" s="110"/>
      <c r="BY814" s="110"/>
      <c r="BZ814" s="110"/>
      <c r="CA814" s="110"/>
      <c r="CB814" s="110"/>
      <c r="CC814" s="110"/>
    </row>
    <row r="815" spans="1:81" ht="12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  <c r="AU815" s="110"/>
      <c r="AV815" s="110"/>
      <c r="AW815" s="110"/>
      <c r="AX815" s="110"/>
      <c r="AY815" s="110"/>
      <c r="AZ815" s="110"/>
      <c r="BA815" s="110"/>
      <c r="BB815" s="110"/>
      <c r="BC815" s="110"/>
      <c r="BD815" s="110"/>
      <c r="BE815" s="110"/>
      <c r="BF815" s="110"/>
      <c r="BG815" s="110"/>
      <c r="BH815" s="110"/>
      <c r="BI815" s="110"/>
      <c r="BJ815" s="110"/>
      <c r="BK815" s="110"/>
      <c r="BL815" s="110"/>
      <c r="BM815" s="110"/>
      <c r="BN815" s="110"/>
      <c r="BO815" s="110"/>
      <c r="BP815" s="110"/>
      <c r="BQ815" s="110"/>
      <c r="BR815" s="110"/>
      <c r="BS815" s="110"/>
      <c r="BT815" s="110"/>
      <c r="BU815" s="110"/>
      <c r="BV815" s="110"/>
      <c r="BW815" s="110"/>
      <c r="BX815" s="110"/>
      <c r="BY815" s="110"/>
      <c r="BZ815" s="110"/>
      <c r="CA815" s="110"/>
      <c r="CB815" s="110"/>
      <c r="CC815" s="110"/>
    </row>
    <row r="816" spans="1:81" ht="12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  <c r="AU816" s="110"/>
      <c r="AV816" s="110"/>
      <c r="AW816" s="110"/>
      <c r="AX816" s="110"/>
      <c r="AY816" s="110"/>
      <c r="AZ816" s="110"/>
      <c r="BA816" s="110"/>
      <c r="BB816" s="110"/>
      <c r="BC816" s="110"/>
      <c r="BD816" s="110"/>
      <c r="BE816" s="110"/>
      <c r="BF816" s="110"/>
      <c r="BG816" s="110"/>
      <c r="BH816" s="110"/>
      <c r="BI816" s="110"/>
      <c r="BJ816" s="110"/>
      <c r="BK816" s="110"/>
      <c r="BL816" s="110"/>
      <c r="BM816" s="110"/>
      <c r="BN816" s="110"/>
      <c r="BO816" s="110"/>
      <c r="BP816" s="110"/>
      <c r="BQ816" s="110"/>
      <c r="BR816" s="110"/>
      <c r="BS816" s="110"/>
      <c r="BT816" s="110"/>
      <c r="BU816" s="110"/>
      <c r="BV816" s="110"/>
      <c r="BW816" s="110"/>
      <c r="BX816" s="110"/>
      <c r="BY816" s="110"/>
      <c r="BZ816" s="110"/>
      <c r="CA816" s="110"/>
      <c r="CB816" s="110"/>
      <c r="CC816" s="110"/>
    </row>
    <row r="817" spans="1:81" ht="12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  <c r="AS817" s="110"/>
      <c r="AT817" s="110"/>
      <c r="AU817" s="110"/>
      <c r="AV817" s="110"/>
      <c r="AW817" s="110"/>
      <c r="AX817" s="110"/>
      <c r="AY817" s="110"/>
      <c r="AZ817" s="110"/>
      <c r="BA817" s="110"/>
      <c r="BB817" s="110"/>
      <c r="BC817" s="110"/>
      <c r="BD817" s="110"/>
      <c r="BE817" s="110"/>
      <c r="BF817" s="110"/>
      <c r="BG817" s="110"/>
      <c r="BH817" s="110"/>
      <c r="BI817" s="110"/>
      <c r="BJ817" s="110"/>
      <c r="BK817" s="110"/>
      <c r="BL817" s="110"/>
      <c r="BM817" s="110"/>
      <c r="BN817" s="110"/>
      <c r="BO817" s="110"/>
      <c r="BP817" s="110"/>
      <c r="BQ817" s="110"/>
      <c r="BR817" s="110"/>
      <c r="BS817" s="110"/>
      <c r="BT817" s="110"/>
      <c r="BU817" s="110"/>
      <c r="BV817" s="110"/>
      <c r="BW817" s="110"/>
      <c r="BX817" s="110"/>
      <c r="BY817" s="110"/>
      <c r="BZ817" s="110"/>
      <c r="CA817" s="110"/>
      <c r="CB817" s="110"/>
      <c r="CC817" s="110"/>
    </row>
    <row r="818" spans="1:81" ht="12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  <c r="AS818" s="110"/>
      <c r="AT818" s="110"/>
      <c r="AU818" s="110"/>
      <c r="AV818" s="110"/>
      <c r="AW818" s="110"/>
      <c r="AX818" s="110"/>
      <c r="AY818" s="110"/>
      <c r="AZ818" s="110"/>
      <c r="BA818" s="110"/>
      <c r="BB818" s="110"/>
      <c r="BC818" s="110"/>
      <c r="BD818" s="110"/>
      <c r="BE818" s="110"/>
      <c r="BF818" s="110"/>
      <c r="BG818" s="110"/>
      <c r="BH818" s="110"/>
      <c r="BI818" s="110"/>
      <c r="BJ818" s="110"/>
      <c r="BK818" s="110"/>
      <c r="BL818" s="110"/>
      <c r="BM818" s="110"/>
      <c r="BN818" s="110"/>
      <c r="BO818" s="110"/>
      <c r="BP818" s="110"/>
      <c r="BQ818" s="110"/>
      <c r="BR818" s="110"/>
      <c r="BS818" s="110"/>
      <c r="BT818" s="110"/>
      <c r="BU818" s="110"/>
      <c r="BV818" s="110"/>
      <c r="BW818" s="110"/>
      <c r="BX818" s="110"/>
      <c r="BY818" s="110"/>
      <c r="BZ818" s="110"/>
      <c r="CA818" s="110"/>
      <c r="CB818" s="110"/>
      <c r="CC818" s="110"/>
    </row>
    <row r="819" spans="1:81" ht="12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  <c r="AS819" s="110"/>
      <c r="AT819" s="110"/>
      <c r="AU819" s="110"/>
      <c r="AV819" s="110"/>
      <c r="AW819" s="110"/>
      <c r="AX819" s="110"/>
      <c r="AY819" s="110"/>
      <c r="AZ819" s="110"/>
      <c r="BA819" s="110"/>
      <c r="BB819" s="110"/>
      <c r="BC819" s="110"/>
      <c r="BD819" s="110"/>
      <c r="BE819" s="110"/>
      <c r="BF819" s="110"/>
      <c r="BG819" s="110"/>
      <c r="BH819" s="110"/>
      <c r="BI819" s="110"/>
      <c r="BJ819" s="110"/>
      <c r="BK819" s="110"/>
      <c r="BL819" s="110"/>
      <c r="BM819" s="110"/>
      <c r="BN819" s="110"/>
      <c r="BO819" s="110"/>
      <c r="BP819" s="110"/>
      <c r="BQ819" s="110"/>
      <c r="BR819" s="110"/>
      <c r="BS819" s="110"/>
      <c r="BT819" s="110"/>
      <c r="BU819" s="110"/>
      <c r="BV819" s="110"/>
      <c r="BW819" s="110"/>
      <c r="BX819" s="110"/>
      <c r="BY819" s="110"/>
      <c r="BZ819" s="110"/>
      <c r="CA819" s="110"/>
      <c r="CB819" s="110"/>
      <c r="CC819" s="110"/>
    </row>
    <row r="820" spans="1:81" ht="12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  <c r="AS820" s="110"/>
      <c r="AT820" s="110"/>
      <c r="AU820" s="110"/>
      <c r="AV820" s="110"/>
      <c r="AW820" s="110"/>
      <c r="AX820" s="110"/>
      <c r="AY820" s="110"/>
      <c r="AZ820" s="110"/>
      <c r="BA820" s="110"/>
      <c r="BB820" s="110"/>
      <c r="BC820" s="110"/>
      <c r="BD820" s="110"/>
      <c r="BE820" s="110"/>
      <c r="BF820" s="110"/>
      <c r="BG820" s="110"/>
      <c r="BH820" s="110"/>
      <c r="BI820" s="110"/>
      <c r="BJ820" s="110"/>
      <c r="BK820" s="110"/>
      <c r="BL820" s="110"/>
      <c r="BM820" s="110"/>
      <c r="BN820" s="110"/>
      <c r="BO820" s="110"/>
      <c r="BP820" s="110"/>
      <c r="BQ820" s="110"/>
      <c r="BR820" s="110"/>
      <c r="BS820" s="110"/>
      <c r="BT820" s="110"/>
      <c r="BU820" s="110"/>
      <c r="BV820" s="110"/>
      <c r="BW820" s="110"/>
      <c r="BX820" s="110"/>
      <c r="BY820" s="110"/>
      <c r="BZ820" s="110"/>
      <c r="CA820" s="110"/>
      <c r="CB820" s="110"/>
      <c r="CC820" s="110"/>
    </row>
    <row r="821" spans="1:81" ht="12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  <c r="AS821" s="110"/>
      <c r="AT821" s="110"/>
      <c r="AU821" s="110"/>
      <c r="AV821" s="110"/>
      <c r="AW821" s="110"/>
      <c r="AX821" s="110"/>
      <c r="AY821" s="110"/>
      <c r="AZ821" s="110"/>
      <c r="BA821" s="110"/>
      <c r="BB821" s="110"/>
      <c r="BC821" s="110"/>
      <c r="BD821" s="110"/>
      <c r="BE821" s="110"/>
      <c r="BF821" s="110"/>
      <c r="BG821" s="110"/>
      <c r="BH821" s="110"/>
      <c r="BI821" s="110"/>
      <c r="BJ821" s="110"/>
      <c r="BK821" s="110"/>
      <c r="BL821" s="110"/>
      <c r="BM821" s="110"/>
      <c r="BN821" s="110"/>
      <c r="BO821" s="110"/>
      <c r="BP821" s="110"/>
      <c r="BQ821" s="110"/>
      <c r="BR821" s="110"/>
      <c r="BS821" s="110"/>
      <c r="BT821" s="110"/>
      <c r="BU821" s="110"/>
      <c r="BV821" s="110"/>
      <c r="BW821" s="110"/>
      <c r="BX821" s="110"/>
      <c r="BY821" s="110"/>
      <c r="BZ821" s="110"/>
      <c r="CA821" s="110"/>
      <c r="CB821" s="110"/>
      <c r="CC821" s="110"/>
    </row>
    <row r="822" spans="1:81" ht="12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  <c r="AS822" s="110"/>
      <c r="AT822" s="110"/>
      <c r="AU822" s="110"/>
      <c r="AV822" s="110"/>
      <c r="AW822" s="110"/>
      <c r="AX822" s="110"/>
      <c r="AY822" s="110"/>
      <c r="AZ822" s="110"/>
      <c r="BA822" s="110"/>
      <c r="BB822" s="110"/>
      <c r="BC822" s="110"/>
      <c r="BD822" s="110"/>
      <c r="BE822" s="110"/>
      <c r="BF822" s="110"/>
      <c r="BG822" s="110"/>
      <c r="BH822" s="110"/>
      <c r="BI822" s="110"/>
      <c r="BJ822" s="110"/>
      <c r="BK822" s="110"/>
      <c r="BL822" s="110"/>
      <c r="BM822" s="110"/>
      <c r="BN822" s="110"/>
      <c r="BO822" s="110"/>
      <c r="BP822" s="110"/>
      <c r="BQ822" s="110"/>
      <c r="BR822" s="110"/>
      <c r="BS822" s="110"/>
      <c r="BT822" s="110"/>
      <c r="BU822" s="110"/>
      <c r="BV822" s="110"/>
      <c r="BW822" s="110"/>
      <c r="BX822" s="110"/>
      <c r="BY822" s="110"/>
      <c r="BZ822" s="110"/>
      <c r="CA822" s="110"/>
      <c r="CB822" s="110"/>
      <c r="CC822" s="110"/>
    </row>
    <row r="823" spans="1:81" ht="12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  <c r="AS823" s="110"/>
      <c r="AT823" s="110"/>
      <c r="AU823" s="110"/>
      <c r="AV823" s="110"/>
      <c r="AW823" s="110"/>
      <c r="AX823" s="110"/>
      <c r="AY823" s="110"/>
      <c r="AZ823" s="110"/>
      <c r="BA823" s="110"/>
      <c r="BB823" s="110"/>
      <c r="BC823" s="110"/>
      <c r="BD823" s="110"/>
      <c r="BE823" s="110"/>
      <c r="BF823" s="110"/>
      <c r="BG823" s="110"/>
      <c r="BH823" s="110"/>
      <c r="BI823" s="110"/>
      <c r="BJ823" s="110"/>
      <c r="BK823" s="110"/>
      <c r="BL823" s="110"/>
      <c r="BM823" s="110"/>
      <c r="BN823" s="110"/>
      <c r="BO823" s="110"/>
      <c r="BP823" s="110"/>
      <c r="BQ823" s="110"/>
      <c r="BR823" s="110"/>
      <c r="BS823" s="110"/>
      <c r="BT823" s="110"/>
      <c r="BU823" s="110"/>
      <c r="BV823" s="110"/>
      <c r="BW823" s="110"/>
      <c r="BX823" s="110"/>
      <c r="BY823" s="110"/>
      <c r="BZ823" s="110"/>
      <c r="CA823" s="110"/>
      <c r="CB823" s="110"/>
      <c r="CC823" s="110"/>
    </row>
    <row r="824" spans="1:81" ht="12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  <c r="AS824" s="110"/>
      <c r="AT824" s="110"/>
      <c r="AU824" s="110"/>
      <c r="AV824" s="110"/>
      <c r="AW824" s="110"/>
      <c r="AX824" s="110"/>
      <c r="AY824" s="110"/>
      <c r="AZ824" s="110"/>
      <c r="BA824" s="110"/>
      <c r="BB824" s="110"/>
      <c r="BC824" s="110"/>
      <c r="BD824" s="110"/>
      <c r="BE824" s="110"/>
      <c r="BF824" s="110"/>
      <c r="BG824" s="110"/>
      <c r="BH824" s="110"/>
      <c r="BI824" s="110"/>
      <c r="BJ824" s="110"/>
      <c r="BK824" s="110"/>
      <c r="BL824" s="110"/>
      <c r="BM824" s="110"/>
      <c r="BN824" s="110"/>
      <c r="BO824" s="110"/>
      <c r="BP824" s="110"/>
      <c r="BQ824" s="110"/>
      <c r="BR824" s="110"/>
      <c r="BS824" s="110"/>
      <c r="BT824" s="110"/>
      <c r="BU824" s="110"/>
      <c r="BV824" s="110"/>
      <c r="BW824" s="110"/>
      <c r="BX824" s="110"/>
      <c r="BY824" s="110"/>
      <c r="BZ824" s="110"/>
      <c r="CA824" s="110"/>
      <c r="CB824" s="110"/>
      <c r="CC824" s="110"/>
    </row>
    <row r="825" spans="1:81" ht="12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  <c r="AS825" s="110"/>
      <c r="AT825" s="110"/>
      <c r="AU825" s="110"/>
      <c r="AV825" s="110"/>
      <c r="AW825" s="110"/>
      <c r="AX825" s="110"/>
      <c r="AY825" s="110"/>
      <c r="AZ825" s="110"/>
      <c r="BA825" s="110"/>
      <c r="BB825" s="110"/>
      <c r="BC825" s="110"/>
      <c r="BD825" s="110"/>
      <c r="BE825" s="110"/>
      <c r="BF825" s="110"/>
      <c r="BG825" s="110"/>
      <c r="BH825" s="110"/>
      <c r="BI825" s="110"/>
      <c r="BJ825" s="110"/>
      <c r="BK825" s="110"/>
      <c r="BL825" s="110"/>
      <c r="BM825" s="110"/>
      <c r="BN825" s="110"/>
      <c r="BO825" s="110"/>
      <c r="BP825" s="110"/>
      <c r="BQ825" s="110"/>
      <c r="BR825" s="110"/>
      <c r="BS825" s="110"/>
      <c r="BT825" s="110"/>
      <c r="BU825" s="110"/>
      <c r="BV825" s="110"/>
      <c r="BW825" s="110"/>
      <c r="BX825" s="110"/>
      <c r="BY825" s="110"/>
      <c r="BZ825" s="110"/>
      <c r="CA825" s="110"/>
      <c r="CB825" s="110"/>
      <c r="CC825" s="110"/>
    </row>
    <row r="826" spans="1:81" ht="12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  <c r="AS826" s="110"/>
      <c r="AT826" s="110"/>
      <c r="AU826" s="110"/>
      <c r="AV826" s="110"/>
      <c r="AW826" s="110"/>
      <c r="AX826" s="110"/>
      <c r="AY826" s="110"/>
      <c r="AZ826" s="110"/>
      <c r="BA826" s="110"/>
      <c r="BB826" s="110"/>
      <c r="BC826" s="110"/>
      <c r="BD826" s="110"/>
      <c r="BE826" s="110"/>
      <c r="BF826" s="110"/>
      <c r="BG826" s="110"/>
      <c r="BH826" s="110"/>
      <c r="BI826" s="110"/>
      <c r="BJ826" s="110"/>
      <c r="BK826" s="110"/>
      <c r="BL826" s="110"/>
      <c r="BM826" s="110"/>
      <c r="BN826" s="110"/>
      <c r="BO826" s="110"/>
      <c r="BP826" s="110"/>
      <c r="BQ826" s="110"/>
      <c r="BR826" s="110"/>
      <c r="BS826" s="110"/>
      <c r="BT826" s="110"/>
      <c r="BU826" s="110"/>
      <c r="BV826" s="110"/>
      <c r="BW826" s="110"/>
      <c r="BX826" s="110"/>
      <c r="BY826" s="110"/>
      <c r="BZ826" s="110"/>
      <c r="CA826" s="110"/>
      <c r="CB826" s="110"/>
      <c r="CC826" s="110"/>
    </row>
    <row r="827" spans="1:81" ht="12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  <c r="AS827" s="110"/>
      <c r="AT827" s="110"/>
      <c r="AU827" s="110"/>
      <c r="AV827" s="110"/>
      <c r="AW827" s="110"/>
      <c r="AX827" s="110"/>
      <c r="AY827" s="110"/>
      <c r="AZ827" s="110"/>
      <c r="BA827" s="110"/>
      <c r="BB827" s="110"/>
      <c r="BC827" s="110"/>
      <c r="BD827" s="110"/>
      <c r="BE827" s="110"/>
      <c r="BF827" s="110"/>
      <c r="BG827" s="110"/>
      <c r="BH827" s="110"/>
      <c r="BI827" s="110"/>
      <c r="BJ827" s="110"/>
      <c r="BK827" s="110"/>
      <c r="BL827" s="110"/>
      <c r="BM827" s="110"/>
      <c r="BN827" s="110"/>
      <c r="BO827" s="110"/>
      <c r="BP827" s="110"/>
      <c r="BQ827" s="110"/>
      <c r="BR827" s="110"/>
      <c r="BS827" s="110"/>
      <c r="BT827" s="110"/>
      <c r="BU827" s="110"/>
      <c r="BV827" s="110"/>
      <c r="BW827" s="110"/>
      <c r="BX827" s="110"/>
      <c r="BY827" s="110"/>
      <c r="BZ827" s="110"/>
      <c r="CA827" s="110"/>
      <c r="CB827" s="110"/>
      <c r="CC827" s="110"/>
    </row>
    <row r="828" spans="1:81" ht="12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  <c r="AS828" s="110"/>
      <c r="AT828" s="110"/>
      <c r="AU828" s="110"/>
      <c r="AV828" s="110"/>
      <c r="AW828" s="110"/>
      <c r="AX828" s="110"/>
      <c r="AY828" s="110"/>
      <c r="AZ828" s="110"/>
      <c r="BA828" s="110"/>
      <c r="BB828" s="110"/>
      <c r="BC828" s="110"/>
      <c r="BD828" s="110"/>
      <c r="BE828" s="110"/>
      <c r="BF828" s="110"/>
      <c r="BG828" s="110"/>
      <c r="BH828" s="110"/>
      <c r="BI828" s="110"/>
      <c r="BJ828" s="110"/>
      <c r="BK828" s="110"/>
      <c r="BL828" s="110"/>
      <c r="BM828" s="110"/>
      <c r="BN828" s="110"/>
      <c r="BO828" s="110"/>
      <c r="BP828" s="110"/>
      <c r="BQ828" s="110"/>
      <c r="BR828" s="110"/>
      <c r="BS828" s="110"/>
      <c r="BT828" s="110"/>
      <c r="BU828" s="110"/>
      <c r="BV828" s="110"/>
      <c r="BW828" s="110"/>
      <c r="BX828" s="110"/>
      <c r="BY828" s="110"/>
      <c r="BZ828" s="110"/>
      <c r="CA828" s="110"/>
      <c r="CB828" s="110"/>
      <c r="CC828" s="110"/>
    </row>
    <row r="829" spans="1:81" ht="12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  <c r="AS829" s="110"/>
      <c r="AT829" s="110"/>
      <c r="AU829" s="110"/>
      <c r="AV829" s="110"/>
      <c r="AW829" s="110"/>
      <c r="AX829" s="110"/>
      <c r="AY829" s="110"/>
      <c r="AZ829" s="110"/>
      <c r="BA829" s="110"/>
      <c r="BB829" s="110"/>
      <c r="BC829" s="110"/>
      <c r="BD829" s="110"/>
      <c r="BE829" s="110"/>
      <c r="BF829" s="110"/>
      <c r="BG829" s="110"/>
      <c r="BH829" s="110"/>
      <c r="BI829" s="110"/>
      <c r="BJ829" s="110"/>
      <c r="BK829" s="110"/>
      <c r="BL829" s="110"/>
      <c r="BM829" s="110"/>
      <c r="BN829" s="110"/>
      <c r="BO829" s="110"/>
      <c r="BP829" s="110"/>
      <c r="BQ829" s="110"/>
      <c r="BR829" s="110"/>
      <c r="BS829" s="110"/>
      <c r="BT829" s="110"/>
      <c r="BU829" s="110"/>
      <c r="BV829" s="110"/>
      <c r="BW829" s="110"/>
      <c r="BX829" s="110"/>
      <c r="BY829" s="110"/>
      <c r="BZ829" s="110"/>
      <c r="CA829" s="110"/>
      <c r="CB829" s="110"/>
      <c r="CC829" s="110"/>
    </row>
    <row r="830" spans="1:81" ht="12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110"/>
      <c r="AU830" s="110"/>
      <c r="AV830" s="110"/>
      <c r="AW830" s="110"/>
      <c r="AX830" s="110"/>
      <c r="AY830" s="110"/>
      <c r="AZ830" s="110"/>
      <c r="BA830" s="110"/>
      <c r="BB830" s="110"/>
      <c r="BC830" s="110"/>
      <c r="BD830" s="110"/>
      <c r="BE830" s="110"/>
      <c r="BF830" s="110"/>
      <c r="BG830" s="110"/>
      <c r="BH830" s="110"/>
      <c r="BI830" s="110"/>
      <c r="BJ830" s="110"/>
      <c r="BK830" s="110"/>
      <c r="BL830" s="110"/>
      <c r="BM830" s="110"/>
      <c r="BN830" s="110"/>
      <c r="BO830" s="110"/>
      <c r="BP830" s="110"/>
      <c r="BQ830" s="110"/>
      <c r="BR830" s="110"/>
      <c r="BS830" s="110"/>
      <c r="BT830" s="110"/>
      <c r="BU830" s="110"/>
      <c r="BV830" s="110"/>
      <c r="BW830" s="110"/>
      <c r="BX830" s="110"/>
      <c r="BY830" s="110"/>
      <c r="BZ830" s="110"/>
      <c r="CA830" s="110"/>
      <c r="CB830" s="110"/>
      <c r="CC830" s="110"/>
    </row>
    <row r="831" spans="1:81" ht="12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  <c r="AS831" s="110"/>
      <c r="AT831" s="110"/>
      <c r="AU831" s="110"/>
      <c r="AV831" s="110"/>
      <c r="AW831" s="110"/>
      <c r="AX831" s="110"/>
      <c r="AY831" s="110"/>
      <c r="AZ831" s="110"/>
      <c r="BA831" s="110"/>
      <c r="BB831" s="110"/>
      <c r="BC831" s="110"/>
      <c r="BD831" s="110"/>
      <c r="BE831" s="110"/>
      <c r="BF831" s="110"/>
      <c r="BG831" s="110"/>
      <c r="BH831" s="110"/>
      <c r="BI831" s="110"/>
      <c r="BJ831" s="110"/>
      <c r="BK831" s="110"/>
      <c r="BL831" s="110"/>
      <c r="BM831" s="110"/>
      <c r="BN831" s="110"/>
      <c r="BO831" s="110"/>
      <c r="BP831" s="110"/>
      <c r="BQ831" s="110"/>
      <c r="BR831" s="110"/>
      <c r="BS831" s="110"/>
      <c r="BT831" s="110"/>
      <c r="BU831" s="110"/>
      <c r="BV831" s="110"/>
      <c r="BW831" s="110"/>
      <c r="BX831" s="110"/>
      <c r="BY831" s="110"/>
      <c r="BZ831" s="110"/>
      <c r="CA831" s="110"/>
      <c r="CB831" s="110"/>
      <c r="CC831" s="110"/>
    </row>
    <row r="832" spans="1:81" ht="12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  <c r="AS832" s="110"/>
      <c r="AT832" s="110"/>
      <c r="AU832" s="110"/>
      <c r="AV832" s="110"/>
      <c r="AW832" s="110"/>
      <c r="AX832" s="110"/>
      <c r="AY832" s="110"/>
      <c r="AZ832" s="110"/>
      <c r="BA832" s="110"/>
      <c r="BB832" s="110"/>
      <c r="BC832" s="110"/>
      <c r="BD832" s="110"/>
      <c r="BE832" s="110"/>
      <c r="BF832" s="110"/>
      <c r="BG832" s="110"/>
      <c r="BH832" s="110"/>
      <c r="BI832" s="110"/>
      <c r="BJ832" s="110"/>
      <c r="BK832" s="110"/>
      <c r="BL832" s="110"/>
      <c r="BM832" s="110"/>
      <c r="BN832" s="110"/>
      <c r="BO832" s="110"/>
      <c r="BP832" s="110"/>
      <c r="BQ832" s="110"/>
      <c r="BR832" s="110"/>
      <c r="BS832" s="110"/>
      <c r="BT832" s="110"/>
      <c r="BU832" s="110"/>
      <c r="BV832" s="110"/>
      <c r="BW832" s="110"/>
      <c r="BX832" s="110"/>
      <c r="BY832" s="110"/>
      <c r="BZ832" s="110"/>
      <c r="CA832" s="110"/>
      <c r="CB832" s="110"/>
      <c r="CC832" s="110"/>
    </row>
    <row r="833" spans="1:81" ht="12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  <c r="AS833" s="110"/>
      <c r="AT833" s="110"/>
      <c r="AU833" s="110"/>
      <c r="AV833" s="110"/>
      <c r="AW833" s="110"/>
      <c r="AX833" s="110"/>
      <c r="AY833" s="110"/>
      <c r="AZ833" s="110"/>
      <c r="BA833" s="110"/>
      <c r="BB833" s="110"/>
      <c r="BC833" s="110"/>
      <c r="BD833" s="110"/>
      <c r="BE833" s="110"/>
      <c r="BF833" s="110"/>
      <c r="BG833" s="110"/>
      <c r="BH833" s="110"/>
      <c r="BI833" s="110"/>
      <c r="BJ833" s="110"/>
      <c r="BK833" s="110"/>
      <c r="BL833" s="110"/>
      <c r="BM833" s="110"/>
      <c r="BN833" s="110"/>
      <c r="BO833" s="110"/>
      <c r="BP833" s="110"/>
      <c r="BQ833" s="110"/>
      <c r="BR833" s="110"/>
      <c r="BS833" s="110"/>
      <c r="BT833" s="110"/>
      <c r="BU833" s="110"/>
      <c r="BV833" s="110"/>
      <c r="BW833" s="110"/>
      <c r="BX833" s="110"/>
      <c r="BY833" s="110"/>
      <c r="BZ833" s="110"/>
      <c r="CA833" s="110"/>
      <c r="CB833" s="110"/>
      <c r="CC833" s="110"/>
    </row>
    <row r="834" spans="1:81" ht="12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  <c r="AS834" s="110"/>
      <c r="AT834" s="110"/>
      <c r="AU834" s="110"/>
      <c r="AV834" s="110"/>
      <c r="AW834" s="110"/>
      <c r="AX834" s="110"/>
      <c r="AY834" s="110"/>
      <c r="AZ834" s="110"/>
      <c r="BA834" s="110"/>
      <c r="BB834" s="110"/>
      <c r="BC834" s="110"/>
      <c r="BD834" s="110"/>
      <c r="BE834" s="110"/>
      <c r="BF834" s="110"/>
      <c r="BG834" s="110"/>
      <c r="BH834" s="110"/>
      <c r="BI834" s="110"/>
      <c r="BJ834" s="110"/>
      <c r="BK834" s="110"/>
      <c r="BL834" s="110"/>
      <c r="BM834" s="110"/>
      <c r="BN834" s="110"/>
      <c r="BO834" s="110"/>
      <c r="BP834" s="110"/>
      <c r="BQ834" s="110"/>
      <c r="BR834" s="110"/>
      <c r="BS834" s="110"/>
      <c r="BT834" s="110"/>
      <c r="BU834" s="110"/>
      <c r="BV834" s="110"/>
      <c r="BW834" s="110"/>
      <c r="BX834" s="110"/>
      <c r="BY834" s="110"/>
      <c r="BZ834" s="110"/>
      <c r="CA834" s="110"/>
      <c r="CB834" s="110"/>
      <c r="CC834" s="110"/>
    </row>
    <row r="835" spans="1:81" ht="12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  <c r="AU835" s="110"/>
      <c r="AV835" s="110"/>
      <c r="AW835" s="110"/>
      <c r="AX835" s="110"/>
      <c r="AY835" s="110"/>
      <c r="AZ835" s="110"/>
      <c r="BA835" s="110"/>
      <c r="BB835" s="110"/>
      <c r="BC835" s="110"/>
      <c r="BD835" s="110"/>
      <c r="BE835" s="110"/>
      <c r="BF835" s="110"/>
      <c r="BG835" s="110"/>
      <c r="BH835" s="110"/>
      <c r="BI835" s="110"/>
      <c r="BJ835" s="110"/>
      <c r="BK835" s="110"/>
      <c r="BL835" s="110"/>
      <c r="BM835" s="110"/>
      <c r="BN835" s="110"/>
      <c r="BO835" s="110"/>
      <c r="BP835" s="110"/>
      <c r="BQ835" s="110"/>
      <c r="BR835" s="110"/>
      <c r="BS835" s="110"/>
      <c r="BT835" s="110"/>
      <c r="BU835" s="110"/>
      <c r="BV835" s="110"/>
      <c r="BW835" s="110"/>
      <c r="BX835" s="110"/>
      <c r="BY835" s="110"/>
      <c r="BZ835" s="110"/>
      <c r="CA835" s="110"/>
      <c r="CB835" s="110"/>
      <c r="CC835" s="110"/>
    </row>
    <row r="836" spans="1:81" ht="12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  <c r="AU836" s="110"/>
      <c r="AV836" s="110"/>
      <c r="AW836" s="110"/>
      <c r="AX836" s="110"/>
      <c r="AY836" s="110"/>
      <c r="AZ836" s="110"/>
      <c r="BA836" s="110"/>
      <c r="BB836" s="110"/>
      <c r="BC836" s="110"/>
      <c r="BD836" s="110"/>
      <c r="BE836" s="110"/>
      <c r="BF836" s="110"/>
      <c r="BG836" s="110"/>
      <c r="BH836" s="110"/>
      <c r="BI836" s="110"/>
      <c r="BJ836" s="110"/>
      <c r="BK836" s="110"/>
      <c r="BL836" s="110"/>
      <c r="BM836" s="110"/>
      <c r="BN836" s="110"/>
      <c r="BO836" s="110"/>
      <c r="BP836" s="110"/>
      <c r="BQ836" s="110"/>
      <c r="BR836" s="110"/>
      <c r="BS836" s="110"/>
      <c r="BT836" s="110"/>
      <c r="BU836" s="110"/>
      <c r="BV836" s="110"/>
      <c r="BW836" s="110"/>
      <c r="BX836" s="110"/>
      <c r="BY836" s="110"/>
      <c r="BZ836" s="110"/>
      <c r="CA836" s="110"/>
      <c r="CB836" s="110"/>
      <c r="CC836" s="110"/>
    </row>
    <row r="837" spans="1:81" ht="12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  <c r="AS837" s="110"/>
      <c r="AT837" s="110"/>
      <c r="AU837" s="110"/>
      <c r="AV837" s="110"/>
      <c r="AW837" s="110"/>
      <c r="AX837" s="110"/>
      <c r="AY837" s="110"/>
      <c r="AZ837" s="110"/>
      <c r="BA837" s="110"/>
      <c r="BB837" s="110"/>
      <c r="BC837" s="110"/>
      <c r="BD837" s="110"/>
      <c r="BE837" s="110"/>
      <c r="BF837" s="110"/>
      <c r="BG837" s="110"/>
      <c r="BH837" s="110"/>
      <c r="BI837" s="110"/>
      <c r="BJ837" s="110"/>
      <c r="BK837" s="110"/>
      <c r="BL837" s="110"/>
      <c r="BM837" s="110"/>
      <c r="BN837" s="110"/>
      <c r="BO837" s="110"/>
      <c r="BP837" s="110"/>
      <c r="BQ837" s="110"/>
      <c r="BR837" s="110"/>
      <c r="BS837" s="110"/>
      <c r="BT837" s="110"/>
      <c r="BU837" s="110"/>
      <c r="BV837" s="110"/>
      <c r="BW837" s="110"/>
      <c r="BX837" s="110"/>
      <c r="BY837" s="110"/>
      <c r="BZ837" s="110"/>
      <c r="CA837" s="110"/>
      <c r="CB837" s="110"/>
      <c r="CC837" s="110"/>
    </row>
    <row r="838" spans="1:81" ht="12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  <c r="AS838" s="110"/>
      <c r="AT838" s="110"/>
      <c r="AU838" s="110"/>
      <c r="AV838" s="110"/>
      <c r="AW838" s="110"/>
      <c r="AX838" s="110"/>
      <c r="AY838" s="110"/>
      <c r="AZ838" s="110"/>
      <c r="BA838" s="110"/>
      <c r="BB838" s="110"/>
      <c r="BC838" s="110"/>
      <c r="BD838" s="110"/>
      <c r="BE838" s="110"/>
      <c r="BF838" s="110"/>
      <c r="BG838" s="110"/>
      <c r="BH838" s="110"/>
      <c r="BI838" s="110"/>
      <c r="BJ838" s="110"/>
      <c r="BK838" s="110"/>
      <c r="BL838" s="110"/>
      <c r="BM838" s="110"/>
      <c r="BN838" s="110"/>
      <c r="BO838" s="110"/>
      <c r="BP838" s="110"/>
      <c r="BQ838" s="110"/>
      <c r="BR838" s="110"/>
      <c r="BS838" s="110"/>
      <c r="BT838" s="110"/>
      <c r="BU838" s="110"/>
      <c r="BV838" s="110"/>
      <c r="BW838" s="110"/>
      <c r="BX838" s="110"/>
      <c r="BY838" s="110"/>
      <c r="BZ838" s="110"/>
      <c r="CA838" s="110"/>
      <c r="CB838" s="110"/>
      <c r="CC838" s="110"/>
    </row>
    <row r="839" spans="1:81" ht="12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  <c r="AU839" s="110"/>
      <c r="AV839" s="110"/>
      <c r="AW839" s="110"/>
      <c r="AX839" s="110"/>
      <c r="AY839" s="110"/>
      <c r="AZ839" s="110"/>
      <c r="BA839" s="110"/>
      <c r="BB839" s="110"/>
      <c r="BC839" s="110"/>
      <c r="BD839" s="110"/>
      <c r="BE839" s="110"/>
      <c r="BF839" s="110"/>
      <c r="BG839" s="110"/>
      <c r="BH839" s="110"/>
      <c r="BI839" s="110"/>
      <c r="BJ839" s="110"/>
      <c r="BK839" s="110"/>
      <c r="BL839" s="110"/>
      <c r="BM839" s="110"/>
      <c r="BN839" s="110"/>
      <c r="BO839" s="110"/>
      <c r="BP839" s="110"/>
      <c r="BQ839" s="110"/>
      <c r="BR839" s="110"/>
      <c r="BS839" s="110"/>
      <c r="BT839" s="110"/>
      <c r="BU839" s="110"/>
      <c r="BV839" s="110"/>
      <c r="BW839" s="110"/>
      <c r="BX839" s="110"/>
      <c r="BY839" s="110"/>
      <c r="BZ839" s="110"/>
      <c r="CA839" s="110"/>
      <c r="CB839" s="110"/>
      <c r="CC839" s="110"/>
    </row>
    <row r="840" spans="1:81" ht="12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110"/>
      <c r="AU840" s="110"/>
      <c r="AV840" s="110"/>
      <c r="AW840" s="110"/>
      <c r="AX840" s="110"/>
      <c r="AY840" s="110"/>
      <c r="AZ840" s="110"/>
      <c r="BA840" s="110"/>
      <c r="BB840" s="110"/>
      <c r="BC840" s="110"/>
      <c r="BD840" s="110"/>
      <c r="BE840" s="110"/>
      <c r="BF840" s="110"/>
      <c r="BG840" s="110"/>
      <c r="BH840" s="110"/>
      <c r="BI840" s="110"/>
      <c r="BJ840" s="110"/>
      <c r="BK840" s="110"/>
      <c r="BL840" s="110"/>
      <c r="BM840" s="110"/>
      <c r="BN840" s="110"/>
      <c r="BO840" s="110"/>
      <c r="BP840" s="110"/>
      <c r="BQ840" s="110"/>
      <c r="BR840" s="110"/>
      <c r="BS840" s="110"/>
      <c r="BT840" s="110"/>
      <c r="BU840" s="110"/>
      <c r="BV840" s="110"/>
      <c r="BW840" s="110"/>
      <c r="BX840" s="110"/>
      <c r="BY840" s="110"/>
      <c r="BZ840" s="110"/>
      <c r="CA840" s="110"/>
      <c r="CB840" s="110"/>
      <c r="CC840" s="110"/>
    </row>
    <row r="841" spans="1:81" ht="12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  <c r="AS841" s="110"/>
      <c r="AT841" s="110"/>
      <c r="AU841" s="110"/>
      <c r="AV841" s="110"/>
      <c r="AW841" s="110"/>
      <c r="AX841" s="110"/>
      <c r="AY841" s="110"/>
      <c r="AZ841" s="110"/>
      <c r="BA841" s="110"/>
      <c r="BB841" s="110"/>
      <c r="BC841" s="110"/>
      <c r="BD841" s="110"/>
      <c r="BE841" s="110"/>
      <c r="BF841" s="110"/>
      <c r="BG841" s="110"/>
      <c r="BH841" s="110"/>
      <c r="BI841" s="110"/>
      <c r="BJ841" s="110"/>
      <c r="BK841" s="110"/>
      <c r="BL841" s="110"/>
      <c r="BM841" s="110"/>
      <c r="BN841" s="110"/>
      <c r="BO841" s="110"/>
      <c r="BP841" s="110"/>
      <c r="BQ841" s="110"/>
      <c r="BR841" s="110"/>
      <c r="BS841" s="110"/>
      <c r="BT841" s="110"/>
      <c r="BU841" s="110"/>
      <c r="BV841" s="110"/>
      <c r="BW841" s="110"/>
      <c r="BX841" s="110"/>
      <c r="BY841" s="110"/>
      <c r="BZ841" s="110"/>
      <c r="CA841" s="110"/>
      <c r="CB841" s="110"/>
      <c r="CC841" s="110"/>
    </row>
    <row r="842" spans="1:81" ht="12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  <c r="AS842" s="110"/>
      <c r="AT842" s="110"/>
      <c r="AU842" s="110"/>
      <c r="AV842" s="110"/>
      <c r="AW842" s="110"/>
      <c r="AX842" s="110"/>
      <c r="AY842" s="110"/>
      <c r="AZ842" s="110"/>
      <c r="BA842" s="110"/>
      <c r="BB842" s="110"/>
      <c r="BC842" s="110"/>
      <c r="BD842" s="110"/>
      <c r="BE842" s="110"/>
      <c r="BF842" s="110"/>
      <c r="BG842" s="110"/>
      <c r="BH842" s="110"/>
      <c r="BI842" s="110"/>
      <c r="BJ842" s="110"/>
      <c r="BK842" s="110"/>
      <c r="BL842" s="110"/>
      <c r="BM842" s="110"/>
      <c r="BN842" s="110"/>
      <c r="BO842" s="110"/>
      <c r="BP842" s="110"/>
      <c r="BQ842" s="110"/>
      <c r="BR842" s="110"/>
      <c r="BS842" s="110"/>
      <c r="BT842" s="110"/>
      <c r="BU842" s="110"/>
      <c r="BV842" s="110"/>
      <c r="BW842" s="110"/>
      <c r="BX842" s="110"/>
      <c r="BY842" s="110"/>
      <c r="BZ842" s="110"/>
      <c r="CA842" s="110"/>
      <c r="CB842" s="110"/>
      <c r="CC842" s="110"/>
    </row>
    <row r="843" spans="1:81" ht="12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  <c r="AS843" s="110"/>
      <c r="AT843" s="110"/>
      <c r="AU843" s="110"/>
      <c r="AV843" s="110"/>
      <c r="AW843" s="110"/>
      <c r="AX843" s="110"/>
      <c r="AY843" s="110"/>
      <c r="AZ843" s="110"/>
      <c r="BA843" s="110"/>
      <c r="BB843" s="110"/>
      <c r="BC843" s="110"/>
      <c r="BD843" s="110"/>
      <c r="BE843" s="110"/>
      <c r="BF843" s="110"/>
      <c r="BG843" s="110"/>
      <c r="BH843" s="110"/>
      <c r="BI843" s="110"/>
      <c r="BJ843" s="110"/>
      <c r="BK843" s="110"/>
      <c r="BL843" s="110"/>
      <c r="BM843" s="110"/>
      <c r="BN843" s="110"/>
      <c r="BO843" s="110"/>
      <c r="BP843" s="110"/>
      <c r="BQ843" s="110"/>
      <c r="BR843" s="110"/>
      <c r="BS843" s="110"/>
      <c r="BT843" s="110"/>
      <c r="BU843" s="110"/>
      <c r="BV843" s="110"/>
      <c r="BW843" s="110"/>
      <c r="BX843" s="110"/>
      <c r="BY843" s="110"/>
      <c r="BZ843" s="110"/>
      <c r="CA843" s="110"/>
      <c r="CB843" s="110"/>
      <c r="CC843" s="110"/>
    </row>
    <row r="844" spans="1:81" ht="12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  <c r="AS844" s="110"/>
      <c r="AT844" s="110"/>
      <c r="AU844" s="110"/>
      <c r="AV844" s="110"/>
      <c r="AW844" s="110"/>
      <c r="AX844" s="110"/>
      <c r="AY844" s="110"/>
      <c r="AZ844" s="110"/>
      <c r="BA844" s="110"/>
      <c r="BB844" s="110"/>
      <c r="BC844" s="110"/>
      <c r="BD844" s="110"/>
      <c r="BE844" s="110"/>
      <c r="BF844" s="110"/>
      <c r="BG844" s="110"/>
      <c r="BH844" s="110"/>
      <c r="BI844" s="110"/>
      <c r="BJ844" s="110"/>
      <c r="BK844" s="110"/>
      <c r="BL844" s="110"/>
      <c r="BM844" s="110"/>
      <c r="BN844" s="110"/>
      <c r="BO844" s="110"/>
      <c r="BP844" s="110"/>
      <c r="BQ844" s="110"/>
      <c r="BR844" s="110"/>
      <c r="BS844" s="110"/>
      <c r="BT844" s="110"/>
      <c r="BU844" s="110"/>
      <c r="BV844" s="110"/>
      <c r="BW844" s="110"/>
      <c r="BX844" s="110"/>
      <c r="BY844" s="110"/>
      <c r="BZ844" s="110"/>
      <c r="CA844" s="110"/>
      <c r="CB844" s="110"/>
      <c r="CC844" s="110"/>
    </row>
    <row r="845" spans="1:81" ht="12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  <c r="AS845" s="110"/>
      <c r="AT845" s="110"/>
      <c r="AU845" s="110"/>
      <c r="AV845" s="110"/>
      <c r="AW845" s="110"/>
      <c r="AX845" s="110"/>
      <c r="AY845" s="110"/>
      <c r="AZ845" s="110"/>
      <c r="BA845" s="110"/>
      <c r="BB845" s="110"/>
      <c r="BC845" s="110"/>
      <c r="BD845" s="110"/>
      <c r="BE845" s="110"/>
      <c r="BF845" s="110"/>
      <c r="BG845" s="110"/>
      <c r="BH845" s="110"/>
      <c r="BI845" s="110"/>
      <c r="BJ845" s="110"/>
      <c r="BK845" s="110"/>
      <c r="BL845" s="110"/>
      <c r="BM845" s="110"/>
      <c r="BN845" s="110"/>
      <c r="BO845" s="110"/>
      <c r="BP845" s="110"/>
      <c r="BQ845" s="110"/>
      <c r="BR845" s="110"/>
      <c r="BS845" s="110"/>
      <c r="BT845" s="110"/>
      <c r="BU845" s="110"/>
      <c r="BV845" s="110"/>
      <c r="BW845" s="110"/>
      <c r="BX845" s="110"/>
      <c r="BY845" s="110"/>
      <c r="BZ845" s="110"/>
      <c r="CA845" s="110"/>
      <c r="CB845" s="110"/>
      <c r="CC845" s="110"/>
    </row>
    <row r="846" spans="1:81" ht="12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  <c r="AS846" s="110"/>
      <c r="AT846" s="110"/>
      <c r="AU846" s="110"/>
      <c r="AV846" s="110"/>
      <c r="AW846" s="110"/>
      <c r="AX846" s="110"/>
      <c r="AY846" s="110"/>
      <c r="AZ846" s="110"/>
      <c r="BA846" s="110"/>
      <c r="BB846" s="110"/>
      <c r="BC846" s="110"/>
      <c r="BD846" s="110"/>
      <c r="BE846" s="110"/>
      <c r="BF846" s="110"/>
      <c r="BG846" s="110"/>
      <c r="BH846" s="110"/>
      <c r="BI846" s="110"/>
      <c r="BJ846" s="110"/>
      <c r="BK846" s="110"/>
      <c r="BL846" s="110"/>
      <c r="BM846" s="110"/>
      <c r="BN846" s="110"/>
      <c r="BO846" s="110"/>
      <c r="BP846" s="110"/>
      <c r="BQ846" s="110"/>
      <c r="BR846" s="110"/>
      <c r="BS846" s="110"/>
      <c r="BT846" s="110"/>
      <c r="BU846" s="110"/>
      <c r="BV846" s="110"/>
      <c r="BW846" s="110"/>
      <c r="BX846" s="110"/>
      <c r="BY846" s="110"/>
      <c r="BZ846" s="110"/>
      <c r="CA846" s="110"/>
      <c r="CB846" s="110"/>
      <c r="CC846" s="110"/>
    </row>
    <row r="847" spans="1:81" ht="12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  <c r="AS847" s="110"/>
      <c r="AT847" s="110"/>
      <c r="AU847" s="110"/>
      <c r="AV847" s="110"/>
      <c r="AW847" s="110"/>
      <c r="AX847" s="110"/>
      <c r="AY847" s="110"/>
      <c r="AZ847" s="110"/>
      <c r="BA847" s="110"/>
      <c r="BB847" s="110"/>
      <c r="BC847" s="110"/>
      <c r="BD847" s="110"/>
      <c r="BE847" s="110"/>
      <c r="BF847" s="110"/>
      <c r="BG847" s="110"/>
      <c r="BH847" s="110"/>
      <c r="BI847" s="110"/>
      <c r="BJ847" s="110"/>
      <c r="BK847" s="110"/>
      <c r="BL847" s="110"/>
      <c r="BM847" s="110"/>
      <c r="BN847" s="110"/>
      <c r="BO847" s="110"/>
      <c r="BP847" s="110"/>
      <c r="BQ847" s="110"/>
      <c r="BR847" s="110"/>
      <c r="BS847" s="110"/>
      <c r="BT847" s="110"/>
      <c r="BU847" s="110"/>
      <c r="BV847" s="110"/>
      <c r="BW847" s="110"/>
      <c r="BX847" s="110"/>
      <c r="BY847" s="110"/>
      <c r="BZ847" s="110"/>
      <c r="CA847" s="110"/>
      <c r="CB847" s="110"/>
      <c r="CC847" s="110"/>
    </row>
    <row r="848" spans="1:81" ht="12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  <c r="AS848" s="110"/>
      <c r="AT848" s="110"/>
      <c r="AU848" s="110"/>
      <c r="AV848" s="110"/>
      <c r="AW848" s="110"/>
      <c r="AX848" s="110"/>
      <c r="AY848" s="110"/>
      <c r="AZ848" s="110"/>
      <c r="BA848" s="110"/>
      <c r="BB848" s="110"/>
      <c r="BC848" s="110"/>
      <c r="BD848" s="110"/>
      <c r="BE848" s="110"/>
      <c r="BF848" s="110"/>
      <c r="BG848" s="110"/>
      <c r="BH848" s="110"/>
      <c r="BI848" s="110"/>
      <c r="BJ848" s="110"/>
      <c r="BK848" s="110"/>
      <c r="BL848" s="110"/>
      <c r="BM848" s="110"/>
      <c r="BN848" s="110"/>
      <c r="BO848" s="110"/>
      <c r="BP848" s="110"/>
      <c r="BQ848" s="110"/>
      <c r="BR848" s="110"/>
      <c r="BS848" s="110"/>
      <c r="BT848" s="110"/>
      <c r="BU848" s="110"/>
      <c r="BV848" s="110"/>
      <c r="BW848" s="110"/>
      <c r="BX848" s="110"/>
      <c r="BY848" s="110"/>
      <c r="BZ848" s="110"/>
      <c r="CA848" s="110"/>
      <c r="CB848" s="110"/>
      <c r="CC848" s="110"/>
    </row>
    <row r="849" spans="1:81" ht="12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  <c r="AS849" s="110"/>
      <c r="AT849" s="110"/>
      <c r="AU849" s="110"/>
      <c r="AV849" s="110"/>
      <c r="AW849" s="110"/>
      <c r="AX849" s="110"/>
      <c r="AY849" s="110"/>
      <c r="AZ849" s="110"/>
      <c r="BA849" s="110"/>
      <c r="BB849" s="110"/>
      <c r="BC849" s="110"/>
      <c r="BD849" s="110"/>
      <c r="BE849" s="110"/>
      <c r="BF849" s="110"/>
      <c r="BG849" s="110"/>
      <c r="BH849" s="110"/>
      <c r="BI849" s="110"/>
      <c r="BJ849" s="110"/>
      <c r="BK849" s="110"/>
      <c r="BL849" s="110"/>
      <c r="BM849" s="110"/>
      <c r="BN849" s="110"/>
      <c r="BO849" s="110"/>
      <c r="BP849" s="110"/>
      <c r="BQ849" s="110"/>
      <c r="BR849" s="110"/>
      <c r="BS849" s="110"/>
      <c r="BT849" s="110"/>
      <c r="BU849" s="110"/>
      <c r="BV849" s="110"/>
      <c r="BW849" s="110"/>
      <c r="BX849" s="110"/>
      <c r="BY849" s="110"/>
      <c r="BZ849" s="110"/>
      <c r="CA849" s="110"/>
      <c r="CB849" s="110"/>
      <c r="CC849" s="110"/>
    </row>
    <row r="850" spans="1:81" ht="12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  <c r="AS850" s="110"/>
      <c r="AT850" s="110"/>
      <c r="AU850" s="110"/>
      <c r="AV850" s="110"/>
      <c r="AW850" s="110"/>
      <c r="AX850" s="110"/>
      <c r="AY850" s="110"/>
      <c r="AZ850" s="110"/>
      <c r="BA850" s="110"/>
      <c r="BB850" s="110"/>
      <c r="BC850" s="110"/>
      <c r="BD850" s="110"/>
      <c r="BE850" s="110"/>
      <c r="BF850" s="110"/>
      <c r="BG850" s="110"/>
      <c r="BH850" s="110"/>
      <c r="BI850" s="110"/>
      <c r="BJ850" s="110"/>
      <c r="BK850" s="110"/>
      <c r="BL850" s="110"/>
      <c r="BM850" s="110"/>
      <c r="BN850" s="110"/>
      <c r="BO850" s="110"/>
      <c r="BP850" s="110"/>
      <c r="BQ850" s="110"/>
      <c r="BR850" s="110"/>
      <c r="BS850" s="110"/>
      <c r="BT850" s="110"/>
      <c r="BU850" s="110"/>
      <c r="BV850" s="110"/>
      <c r="BW850" s="110"/>
      <c r="BX850" s="110"/>
      <c r="BY850" s="110"/>
      <c r="BZ850" s="110"/>
      <c r="CA850" s="110"/>
      <c r="CB850" s="110"/>
      <c r="CC850" s="110"/>
    </row>
    <row r="851" spans="1:81" ht="12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  <c r="AS851" s="110"/>
      <c r="AT851" s="110"/>
      <c r="AU851" s="110"/>
      <c r="AV851" s="110"/>
      <c r="AW851" s="110"/>
      <c r="AX851" s="110"/>
      <c r="AY851" s="110"/>
      <c r="AZ851" s="110"/>
      <c r="BA851" s="110"/>
      <c r="BB851" s="110"/>
      <c r="BC851" s="110"/>
      <c r="BD851" s="110"/>
      <c r="BE851" s="110"/>
      <c r="BF851" s="110"/>
      <c r="BG851" s="110"/>
      <c r="BH851" s="110"/>
      <c r="BI851" s="110"/>
      <c r="BJ851" s="110"/>
      <c r="BK851" s="110"/>
      <c r="BL851" s="110"/>
      <c r="BM851" s="110"/>
      <c r="BN851" s="110"/>
      <c r="BO851" s="110"/>
      <c r="BP851" s="110"/>
      <c r="BQ851" s="110"/>
      <c r="BR851" s="110"/>
      <c r="BS851" s="110"/>
      <c r="BT851" s="110"/>
      <c r="BU851" s="110"/>
      <c r="BV851" s="110"/>
      <c r="BW851" s="110"/>
      <c r="BX851" s="110"/>
      <c r="BY851" s="110"/>
      <c r="BZ851" s="110"/>
      <c r="CA851" s="110"/>
      <c r="CB851" s="110"/>
      <c r="CC851" s="110"/>
    </row>
    <row r="852" spans="1:81" ht="12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  <c r="AS852" s="110"/>
      <c r="AT852" s="110"/>
      <c r="AU852" s="110"/>
      <c r="AV852" s="110"/>
      <c r="AW852" s="110"/>
      <c r="AX852" s="110"/>
      <c r="AY852" s="110"/>
      <c r="AZ852" s="110"/>
      <c r="BA852" s="110"/>
      <c r="BB852" s="110"/>
      <c r="BC852" s="110"/>
      <c r="BD852" s="110"/>
      <c r="BE852" s="110"/>
      <c r="BF852" s="110"/>
      <c r="BG852" s="110"/>
      <c r="BH852" s="110"/>
      <c r="BI852" s="110"/>
      <c r="BJ852" s="110"/>
      <c r="BK852" s="110"/>
      <c r="BL852" s="110"/>
      <c r="BM852" s="110"/>
      <c r="BN852" s="110"/>
      <c r="BO852" s="110"/>
      <c r="BP852" s="110"/>
      <c r="BQ852" s="110"/>
      <c r="BR852" s="110"/>
      <c r="BS852" s="110"/>
      <c r="BT852" s="110"/>
      <c r="BU852" s="110"/>
      <c r="BV852" s="110"/>
      <c r="BW852" s="110"/>
      <c r="BX852" s="110"/>
      <c r="BY852" s="110"/>
      <c r="BZ852" s="110"/>
      <c r="CA852" s="110"/>
      <c r="CB852" s="110"/>
      <c r="CC852" s="110"/>
    </row>
    <row r="853" spans="1:81" ht="12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  <c r="AS853" s="110"/>
      <c r="AT853" s="110"/>
      <c r="AU853" s="110"/>
      <c r="AV853" s="110"/>
      <c r="AW853" s="110"/>
      <c r="AX853" s="110"/>
      <c r="AY853" s="110"/>
      <c r="AZ853" s="110"/>
      <c r="BA853" s="110"/>
      <c r="BB853" s="110"/>
      <c r="BC853" s="110"/>
      <c r="BD853" s="110"/>
      <c r="BE853" s="110"/>
      <c r="BF853" s="110"/>
      <c r="BG853" s="110"/>
      <c r="BH853" s="110"/>
      <c r="BI853" s="110"/>
      <c r="BJ853" s="110"/>
      <c r="BK853" s="110"/>
      <c r="BL853" s="110"/>
      <c r="BM853" s="110"/>
      <c r="BN853" s="110"/>
      <c r="BO853" s="110"/>
      <c r="BP853" s="110"/>
      <c r="BQ853" s="110"/>
      <c r="BR853" s="110"/>
      <c r="BS853" s="110"/>
      <c r="BT853" s="110"/>
      <c r="BU853" s="110"/>
      <c r="BV853" s="110"/>
      <c r="BW853" s="110"/>
      <c r="BX853" s="110"/>
      <c r="BY853" s="110"/>
      <c r="BZ853" s="110"/>
      <c r="CA853" s="110"/>
      <c r="CB853" s="110"/>
      <c r="CC853" s="110"/>
    </row>
    <row r="854" spans="1:81" ht="12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  <c r="AS854" s="110"/>
      <c r="AT854" s="110"/>
      <c r="AU854" s="110"/>
      <c r="AV854" s="110"/>
      <c r="AW854" s="110"/>
      <c r="AX854" s="110"/>
      <c r="AY854" s="110"/>
      <c r="AZ854" s="110"/>
      <c r="BA854" s="110"/>
      <c r="BB854" s="110"/>
      <c r="BC854" s="110"/>
      <c r="BD854" s="110"/>
      <c r="BE854" s="110"/>
      <c r="BF854" s="110"/>
      <c r="BG854" s="110"/>
      <c r="BH854" s="110"/>
      <c r="BI854" s="110"/>
      <c r="BJ854" s="110"/>
      <c r="BK854" s="110"/>
      <c r="BL854" s="110"/>
      <c r="BM854" s="110"/>
      <c r="BN854" s="110"/>
      <c r="BO854" s="110"/>
      <c r="BP854" s="110"/>
      <c r="BQ854" s="110"/>
      <c r="BR854" s="110"/>
      <c r="BS854" s="110"/>
      <c r="BT854" s="110"/>
      <c r="BU854" s="110"/>
      <c r="BV854" s="110"/>
      <c r="BW854" s="110"/>
      <c r="BX854" s="110"/>
      <c r="BY854" s="110"/>
      <c r="BZ854" s="110"/>
      <c r="CA854" s="110"/>
      <c r="CB854" s="110"/>
      <c r="CC854" s="110"/>
    </row>
    <row r="855" spans="1:81" ht="12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  <c r="AS855" s="110"/>
      <c r="AT855" s="110"/>
      <c r="AU855" s="110"/>
      <c r="AV855" s="110"/>
      <c r="AW855" s="110"/>
      <c r="AX855" s="110"/>
      <c r="AY855" s="110"/>
      <c r="AZ855" s="110"/>
      <c r="BA855" s="110"/>
      <c r="BB855" s="110"/>
      <c r="BC855" s="110"/>
      <c r="BD855" s="110"/>
      <c r="BE855" s="110"/>
      <c r="BF855" s="110"/>
      <c r="BG855" s="110"/>
      <c r="BH855" s="110"/>
      <c r="BI855" s="110"/>
      <c r="BJ855" s="110"/>
      <c r="BK855" s="110"/>
      <c r="BL855" s="110"/>
      <c r="BM855" s="110"/>
      <c r="BN855" s="110"/>
      <c r="BO855" s="110"/>
      <c r="BP855" s="110"/>
      <c r="BQ855" s="110"/>
      <c r="BR855" s="110"/>
      <c r="BS855" s="110"/>
      <c r="BT855" s="110"/>
      <c r="BU855" s="110"/>
      <c r="BV855" s="110"/>
      <c r="BW855" s="110"/>
      <c r="BX855" s="110"/>
      <c r="BY855" s="110"/>
      <c r="BZ855" s="110"/>
      <c r="CA855" s="110"/>
      <c r="CB855" s="110"/>
      <c r="CC855" s="110"/>
    </row>
    <row r="856" spans="1:81" ht="12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  <c r="AS856" s="110"/>
      <c r="AT856" s="110"/>
      <c r="AU856" s="110"/>
      <c r="AV856" s="110"/>
      <c r="AW856" s="110"/>
      <c r="AX856" s="110"/>
      <c r="AY856" s="110"/>
      <c r="AZ856" s="110"/>
      <c r="BA856" s="110"/>
      <c r="BB856" s="110"/>
      <c r="BC856" s="110"/>
      <c r="BD856" s="110"/>
      <c r="BE856" s="110"/>
      <c r="BF856" s="110"/>
      <c r="BG856" s="110"/>
      <c r="BH856" s="110"/>
      <c r="BI856" s="110"/>
      <c r="BJ856" s="110"/>
      <c r="BK856" s="110"/>
      <c r="BL856" s="110"/>
      <c r="BM856" s="110"/>
      <c r="BN856" s="110"/>
      <c r="BO856" s="110"/>
      <c r="BP856" s="110"/>
      <c r="BQ856" s="110"/>
      <c r="BR856" s="110"/>
      <c r="BS856" s="110"/>
      <c r="BT856" s="110"/>
      <c r="BU856" s="110"/>
      <c r="BV856" s="110"/>
      <c r="BW856" s="110"/>
      <c r="BX856" s="110"/>
      <c r="BY856" s="110"/>
      <c r="BZ856" s="110"/>
      <c r="CA856" s="110"/>
      <c r="CB856" s="110"/>
      <c r="CC856" s="110"/>
    </row>
    <row r="857" spans="1:81" ht="12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  <c r="AS857" s="110"/>
      <c r="AT857" s="110"/>
      <c r="AU857" s="110"/>
      <c r="AV857" s="110"/>
      <c r="AW857" s="110"/>
      <c r="AX857" s="110"/>
      <c r="AY857" s="110"/>
      <c r="AZ857" s="110"/>
      <c r="BA857" s="110"/>
      <c r="BB857" s="110"/>
      <c r="BC857" s="110"/>
      <c r="BD857" s="110"/>
      <c r="BE857" s="110"/>
      <c r="BF857" s="110"/>
      <c r="BG857" s="110"/>
      <c r="BH857" s="110"/>
      <c r="BI857" s="110"/>
      <c r="BJ857" s="110"/>
      <c r="BK857" s="110"/>
      <c r="BL857" s="110"/>
      <c r="BM857" s="110"/>
      <c r="BN857" s="110"/>
      <c r="BO857" s="110"/>
      <c r="BP857" s="110"/>
      <c r="BQ857" s="110"/>
      <c r="BR857" s="110"/>
      <c r="BS857" s="110"/>
      <c r="BT857" s="110"/>
      <c r="BU857" s="110"/>
      <c r="BV857" s="110"/>
      <c r="BW857" s="110"/>
      <c r="BX857" s="110"/>
      <c r="BY857" s="110"/>
      <c r="BZ857" s="110"/>
      <c r="CA857" s="110"/>
      <c r="CB857" s="110"/>
      <c r="CC857" s="110"/>
    </row>
    <row r="858" spans="1:81" ht="12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  <c r="AS858" s="110"/>
      <c r="AT858" s="110"/>
      <c r="AU858" s="110"/>
      <c r="AV858" s="110"/>
      <c r="AW858" s="110"/>
      <c r="AX858" s="110"/>
      <c r="AY858" s="110"/>
      <c r="AZ858" s="110"/>
      <c r="BA858" s="110"/>
      <c r="BB858" s="110"/>
      <c r="BC858" s="110"/>
      <c r="BD858" s="110"/>
      <c r="BE858" s="110"/>
      <c r="BF858" s="110"/>
      <c r="BG858" s="110"/>
      <c r="BH858" s="110"/>
      <c r="BI858" s="110"/>
      <c r="BJ858" s="110"/>
      <c r="BK858" s="110"/>
      <c r="BL858" s="110"/>
      <c r="BM858" s="110"/>
      <c r="BN858" s="110"/>
      <c r="BO858" s="110"/>
      <c r="BP858" s="110"/>
      <c r="BQ858" s="110"/>
      <c r="BR858" s="110"/>
      <c r="BS858" s="110"/>
      <c r="BT858" s="110"/>
      <c r="BU858" s="110"/>
      <c r="BV858" s="110"/>
      <c r="BW858" s="110"/>
      <c r="BX858" s="110"/>
      <c r="BY858" s="110"/>
      <c r="BZ858" s="110"/>
      <c r="CA858" s="110"/>
      <c r="CB858" s="110"/>
      <c r="CC858" s="110"/>
    </row>
    <row r="859" spans="1:81" ht="12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  <c r="AS859" s="110"/>
      <c r="AT859" s="110"/>
      <c r="AU859" s="110"/>
      <c r="AV859" s="110"/>
      <c r="AW859" s="110"/>
      <c r="AX859" s="110"/>
      <c r="AY859" s="110"/>
      <c r="AZ859" s="110"/>
      <c r="BA859" s="110"/>
      <c r="BB859" s="110"/>
      <c r="BC859" s="110"/>
      <c r="BD859" s="110"/>
      <c r="BE859" s="110"/>
      <c r="BF859" s="110"/>
      <c r="BG859" s="110"/>
      <c r="BH859" s="110"/>
      <c r="BI859" s="110"/>
      <c r="BJ859" s="110"/>
      <c r="BK859" s="110"/>
      <c r="BL859" s="110"/>
      <c r="BM859" s="110"/>
      <c r="BN859" s="110"/>
      <c r="BO859" s="110"/>
      <c r="BP859" s="110"/>
      <c r="BQ859" s="110"/>
      <c r="BR859" s="110"/>
      <c r="BS859" s="110"/>
      <c r="BT859" s="110"/>
      <c r="BU859" s="110"/>
      <c r="BV859" s="110"/>
      <c r="BW859" s="110"/>
      <c r="BX859" s="110"/>
      <c r="BY859" s="110"/>
      <c r="BZ859" s="110"/>
      <c r="CA859" s="110"/>
      <c r="CB859" s="110"/>
      <c r="CC859" s="110"/>
    </row>
    <row r="860" spans="1:81" ht="12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  <c r="AS860" s="110"/>
      <c r="AT860" s="110"/>
      <c r="AU860" s="110"/>
      <c r="AV860" s="110"/>
      <c r="AW860" s="110"/>
      <c r="AX860" s="110"/>
      <c r="AY860" s="110"/>
      <c r="AZ860" s="110"/>
      <c r="BA860" s="110"/>
      <c r="BB860" s="110"/>
      <c r="BC860" s="110"/>
      <c r="BD860" s="110"/>
      <c r="BE860" s="110"/>
      <c r="BF860" s="110"/>
      <c r="BG860" s="110"/>
      <c r="BH860" s="110"/>
      <c r="BI860" s="110"/>
      <c r="BJ860" s="110"/>
      <c r="BK860" s="110"/>
      <c r="BL860" s="110"/>
      <c r="BM860" s="110"/>
      <c r="BN860" s="110"/>
      <c r="BO860" s="110"/>
      <c r="BP860" s="110"/>
      <c r="BQ860" s="110"/>
      <c r="BR860" s="110"/>
      <c r="BS860" s="110"/>
      <c r="BT860" s="110"/>
      <c r="BU860" s="110"/>
      <c r="BV860" s="110"/>
      <c r="BW860" s="110"/>
      <c r="BX860" s="110"/>
      <c r="BY860" s="110"/>
      <c r="BZ860" s="110"/>
      <c r="CA860" s="110"/>
      <c r="CB860" s="110"/>
      <c r="CC860" s="110"/>
    </row>
    <row r="861" spans="1:81" ht="12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  <c r="AS861" s="110"/>
      <c r="AT861" s="110"/>
      <c r="AU861" s="110"/>
      <c r="AV861" s="110"/>
      <c r="AW861" s="110"/>
      <c r="AX861" s="110"/>
      <c r="AY861" s="110"/>
      <c r="AZ861" s="110"/>
      <c r="BA861" s="110"/>
      <c r="BB861" s="110"/>
      <c r="BC861" s="110"/>
      <c r="BD861" s="110"/>
      <c r="BE861" s="110"/>
      <c r="BF861" s="110"/>
      <c r="BG861" s="110"/>
      <c r="BH861" s="110"/>
      <c r="BI861" s="110"/>
      <c r="BJ861" s="110"/>
      <c r="BK861" s="110"/>
      <c r="BL861" s="110"/>
      <c r="BM861" s="110"/>
      <c r="BN861" s="110"/>
      <c r="BO861" s="110"/>
      <c r="BP861" s="110"/>
      <c r="BQ861" s="110"/>
      <c r="BR861" s="110"/>
      <c r="BS861" s="110"/>
      <c r="BT861" s="110"/>
      <c r="BU861" s="110"/>
      <c r="BV861" s="110"/>
      <c r="BW861" s="110"/>
      <c r="BX861" s="110"/>
      <c r="BY861" s="110"/>
      <c r="BZ861" s="110"/>
      <c r="CA861" s="110"/>
      <c r="CB861" s="110"/>
      <c r="CC861" s="110"/>
    </row>
    <row r="862" spans="1:81" ht="12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  <c r="AS862" s="110"/>
      <c r="AT862" s="110"/>
      <c r="AU862" s="110"/>
      <c r="AV862" s="110"/>
      <c r="AW862" s="110"/>
      <c r="AX862" s="110"/>
      <c r="AY862" s="110"/>
      <c r="AZ862" s="110"/>
      <c r="BA862" s="110"/>
      <c r="BB862" s="110"/>
      <c r="BC862" s="110"/>
      <c r="BD862" s="110"/>
      <c r="BE862" s="110"/>
      <c r="BF862" s="110"/>
      <c r="BG862" s="110"/>
      <c r="BH862" s="110"/>
      <c r="BI862" s="110"/>
      <c r="BJ862" s="110"/>
      <c r="BK862" s="110"/>
      <c r="BL862" s="110"/>
      <c r="BM862" s="110"/>
      <c r="BN862" s="110"/>
      <c r="BO862" s="110"/>
      <c r="BP862" s="110"/>
      <c r="BQ862" s="110"/>
      <c r="BR862" s="110"/>
      <c r="BS862" s="110"/>
      <c r="BT862" s="110"/>
      <c r="BU862" s="110"/>
      <c r="BV862" s="110"/>
      <c r="BW862" s="110"/>
      <c r="BX862" s="110"/>
      <c r="BY862" s="110"/>
      <c r="BZ862" s="110"/>
      <c r="CA862" s="110"/>
      <c r="CB862" s="110"/>
      <c r="CC862" s="110"/>
    </row>
    <row r="863" spans="1:81" ht="12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  <c r="AS863" s="110"/>
      <c r="AT863" s="110"/>
      <c r="AU863" s="110"/>
      <c r="AV863" s="110"/>
      <c r="AW863" s="110"/>
      <c r="AX863" s="110"/>
      <c r="AY863" s="110"/>
      <c r="AZ863" s="110"/>
      <c r="BA863" s="110"/>
      <c r="BB863" s="110"/>
      <c r="BC863" s="110"/>
      <c r="BD863" s="110"/>
      <c r="BE863" s="110"/>
      <c r="BF863" s="110"/>
      <c r="BG863" s="110"/>
      <c r="BH863" s="110"/>
      <c r="BI863" s="110"/>
      <c r="BJ863" s="110"/>
      <c r="BK863" s="110"/>
      <c r="BL863" s="110"/>
      <c r="BM863" s="110"/>
      <c r="BN863" s="110"/>
      <c r="BO863" s="110"/>
      <c r="BP863" s="110"/>
      <c r="BQ863" s="110"/>
      <c r="BR863" s="110"/>
      <c r="BS863" s="110"/>
      <c r="BT863" s="110"/>
      <c r="BU863" s="110"/>
      <c r="BV863" s="110"/>
      <c r="BW863" s="110"/>
      <c r="BX863" s="110"/>
      <c r="BY863" s="110"/>
      <c r="BZ863" s="110"/>
      <c r="CA863" s="110"/>
      <c r="CB863" s="110"/>
      <c r="CC863" s="110"/>
    </row>
    <row r="864" spans="1:81" ht="12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  <c r="AS864" s="110"/>
      <c r="AT864" s="110"/>
      <c r="AU864" s="110"/>
      <c r="AV864" s="110"/>
      <c r="AW864" s="110"/>
      <c r="AX864" s="110"/>
      <c r="AY864" s="110"/>
      <c r="AZ864" s="110"/>
      <c r="BA864" s="110"/>
      <c r="BB864" s="110"/>
      <c r="BC864" s="110"/>
      <c r="BD864" s="110"/>
      <c r="BE864" s="110"/>
      <c r="BF864" s="110"/>
      <c r="BG864" s="110"/>
      <c r="BH864" s="110"/>
      <c r="BI864" s="110"/>
      <c r="BJ864" s="110"/>
      <c r="BK864" s="110"/>
      <c r="BL864" s="110"/>
      <c r="BM864" s="110"/>
      <c r="BN864" s="110"/>
      <c r="BO864" s="110"/>
      <c r="BP864" s="110"/>
      <c r="BQ864" s="110"/>
      <c r="BR864" s="110"/>
      <c r="BS864" s="110"/>
      <c r="BT864" s="110"/>
      <c r="BU864" s="110"/>
      <c r="BV864" s="110"/>
      <c r="BW864" s="110"/>
      <c r="BX864" s="110"/>
      <c r="BY864" s="110"/>
      <c r="BZ864" s="110"/>
      <c r="CA864" s="110"/>
      <c r="CB864" s="110"/>
      <c r="CC864" s="110"/>
    </row>
    <row r="865" spans="1:81" ht="12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  <c r="AS865" s="110"/>
      <c r="AT865" s="110"/>
      <c r="AU865" s="110"/>
      <c r="AV865" s="110"/>
      <c r="AW865" s="110"/>
      <c r="AX865" s="110"/>
      <c r="AY865" s="110"/>
      <c r="AZ865" s="110"/>
      <c r="BA865" s="110"/>
      <c r="BB865" s="110"/>
      <c r="BC865" s="110"/>
      <c r="BD865" s="110"/>
      <c r="BE865" s="110"/>
      <c r="BF865" s="110"/>
      <c r="BG865" s="110"/>
      <c r="BH865" s="110"/>
      <c r="BI865" s="110"/>
      <c r="BJ865" s="110"/>
      <c r="BK865" s="110"/>
      <c r="BL865" s="110"/>
      <c r="BM865" s="110"/>
      <c r="BN865" s="110"/>
      <c r="BO865" s="110"/>
      <c r="BP865" s="110"/>
      <c r="BQ865" s="110"/>
      <c r="BR865" s="110"/>
      <c r="BS865" s="110"/>
      <c r="BT865" s="110"/>
      <c r="BU865" s="110"/>
      <c r="BV865" s="110"/>
      <c r="BW865" s="110"/>
      <c r="BX865" s="110"/>
      <c r="BY865" s="110"/>
      <c r="BZ865" s="110"/>
      <c r="CA865" s="110"/>
      <c r="CB865" s="110"/>
      <c r="CC865" s="110"/>
    </row>
    <row r="866" spans="1:81" ht="12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  <c r="AS866" s="110"/>
      <c r="AT866" s="110"/>
      <c r="AU866" s="110"/>
      <c r="AV866" s="110"/>
      <c r="AW866" s="110"/>
      <c r="AX866" s="110"/>
      <c r="AY866" s="110"/>
      <c r="AZ866" s="110"/>
      <c r="BA866" s="110"/>
      <c r="BB866" s="110"/>
      <c r="BC866" s="110"/>
      <c r="BD866" s="110"/>
      <c r="BE866" s="110"/>
      <c r="BF866" s="110"/>
      <c r="BG866" s="110"/>
      <c r="BH866" s="110"/>
      <c r="BI866" s="110"/>
      <c r="BJ866" s="110"/>
      <c r="BK866" s="110"/>
      <c r="BL866" s="110"/>
      <c r="BM866" s="110"/>
      <c r="BN866" s="110"/>
      <c r="BO866" s="110"/>
      <c r="BP866" s="110"/>
      <c r="BQ866" s="110"/>
      <c r="BR866" s="110"/>
      <c r="BS866" s="110"/>
      <c r="BT866" s="110"/>
      <c r="BU866" s="110"/>
      <c r="BV866" s="110"/>
      <c r="BW866" s="110"/>
      <c r="BX866" s="110"/>
      <c r="BY866" s="110"/>
      <c r="BZ866" s="110"/>
      <c r="CA866" s="110"/>
      <c r="CB866" s="110"/>
      <c r="CC866" s="110"/>
    </row>
    <row r="867" spans="1:81" ht="12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  <c r="AS867" s="110"/>
      <c r="AT867" s="110"/>
      <c r="AU867" s="110"/>
      <c r="AV867" s="110"/>
      <c r="AW867" s="110"/>
      <c r="AX867" s="110"/>
      <c r="AY867" s="110"/>
      <c r="AZ867" s="110"/>
      <c r="BA867" s="110"/>
      <c r="BB867" s="110"/>
      <c r="BC867" s="110"/>
      <c r="BD867" s="110"/>
      <c r="BE867" s="110"/>
      <c r="BF867" s="110"/>
      <c r="BG867" s="110"/>
      <c r="BH867" s="110"/>
      <c r="BI867" s="110"/>
      <c r="BJ867" s="110"/>
      <c r="BK867" s="110"/>
      <c r="BL867" s="110"/>
      <c r="BM867" s="110"/>
      <c r="BN867" s="110"/>
      <c r="BO867" s="110"/>
      <c r="BP867" s="110"/>
      <c r="BQ867" s="110"/>
      <c r="BR867" s="110"/>
      <c r="BS867" s="110"/>
      <c r="BT867" s="110"/>
      <c r="BU867" s="110"/>
      <c r="BV867" s="110"/>
      <c r="BW867" s="110"/>
      <c r="BX867" s="110"/>
      <c r="BY867" s="110"/>
      <c r="BZ867" s="110"/>
      <c r="CA867" s="110"/>
      <c r="CB867" s="110"/>
      <c r="CC867" s="110"/>
    </row>
    <row r="868" spans="1:81" ht="12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  <c r="AU868" s="110"/>
      <c r="AV868" s="110"/>
      <c r="AW868" s="110"/>
      <c r="AX868" s="110"/>
      <c r="AY868" s="110"/>
      <c r="AZ868" s="110"/>
      <c r="BA868" s="110"/>
      <c r="BB868" s="110"/>
      <c r="BC868" s="110"/>
      <c r="BD868" s="110"/>
      <c r="BE868" s="110"/>
      <c r="BF868" s="110"/>
      <c r="BG868" s="110"/>
      <c r="BH868" s="110"/>
      <c r="BI868" s="110"/>
      <c r="BJ868" s="110"/>
      <c r="BK868" s="110"/>
      <c r="BL868" s="110"/>
      <c r="BM868" s="110"/>
      <c r="BN868" s="110"/>
      <c r="BO868" s="110"/>
      <c r="BP868" s="110"/>
      <c r="BQ868" s="110"/>
      <c r="BR868" s="110"/>
      <c r="BS868" s="110"/>
      <c r="BT868" s="110"/>
      <c r="BU868" s="110"/>
      <c r="BV868" s="110"/>
      <c r="BW868" s="110"/>
      <c r="BX868" s="110"/>
      <c r="BY868" s="110"/>
      <c r="BZ868" s="110"/>
      <c r="CA868" s="110"/>
      <c r="CB868" s="110"/>
      <c r="CC868" s="110"/>
    </row>
    <row r="869" spans="1:81" ht="12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  <c r="AS869" s="110"/>
      <c r="AT869" s="110"/>
      <c r="AU869" s="110"/>
      <c r="AV869" s="110"/>
      <c r="AW869" s="110"/>
      <c r="AX869" s="110"/>
      <c r="AY869" s="110"/>
      <c r="AZ869" s="110"/>
      <c r="BA869" s="110"/>
      <c r="BB869" s="110"/>
      <c r="BC869" s="110"/>
      <c r="BD869" s="110"/>
      <c r="BE869" s="110"/>
      <c r="BF869" s="110"/>
      <c r="BG869" s="110"/>
      <c r="BH869" s="110"/>
      <c r="BI869" s="110"/>
      <c r="BJ869" s="110"/>
      <c r="BK869" s="110"/>
      <c r="BL869" s="110"/>
      <c r="BM869" s="110"/>
      <c r="BN869" s="110"/>
      <c r="BO869" s="110"/>
      <c r="BP869" s="110"/>
      <c r="BQ869" s="110"/>
      <c r="BR869" s="110"/>
      <c r="BS869" s="110"/>
      <c r="BT869" s="110"/>
      <c r="BU869" s="110"/>
      <c r="BV869" s="110"/>
      <c r="BW869" s="110"/>
      <c r="BX869" s="110"/>
      <c r="BY869" s="110"/>
      <c r="BZ869" s="110"/>
      <c r="CA869" s="110"/>
      <c r="CB869" s="110"/>
      <c r="CC869" s="110"/>
    </row>
    <row r="870" spans="1:81" ht="12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  <c r="AS870" s="110"/>
      <c r="AT870" s="110"/>
      <c r="AU870" s="110"/>
      <c r="AV870" s="110"/>
      <c r="AW870" s="110"/>
      <c r="AX870" s="110"/>
      <c r="AY870" s="110"/>
      <c r="AZ870" s="110"/>
      <c r="BA870" s="110"/>
      <c r="BB870" s="110"/>
      <c r="BC870" s="110"/>
      <c r="BD870" s="110"/>
      <c r="BE870" s="110"/>
      <c r="BF870" s="110"/>
      <c r="BG870" s="110"/>
      <c r="BH870" s="110"/>
      <c r="BI870" s="110"/>
      <c r="BJ870" s="110"/>
      <c r="BK870" s="110"/>
      <c r="BL870" s="110"/>
      <c r="BM870" s="110"/>
      <c r="BN870" s="110"/>
      <c r="BO870" s="110"/>
      <c r="BP870" s="110"/>
      <c r="BQ870" s="110"/>
      <c r="BR870" s="110"/>
      <c r="BS870" s="110"/>
      <c r="BT870" s="110"/>
      <c r="BU870" s="110"/>
      <c r="BV870" s="110"/>
      <c r="BW870" s="110"/>
      <c r="BX870" s="110"/>
      <c r="BY870" s="110"/>
      <c r="BZ870" s="110"/>
      <c r="CA870" s="110"/>
      <c r="CB870" s="110"/>
      <c r="CC870" s="110"/>
    </row>
    <row r="871" spans="1:81" ht="12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  <c r="AS871" s="110"/>
      <c r="AT871" s="110"/>
      <c r="AU871" s="110"/>
      <c r="AV871" s="110"/>
      <c r="AW871" s="110"/>
      <c r="AX871" s="110"/>
      <c r="AY871" s="110"/>
      <c r="AZ871" s="110"/>
      <c r="BA871" s="110"/>
      <c r="BB871" s="110"/>
      <c r="BC871" s="110"/>
      <c r="BD871" s="110"/>
      <c r="BE871" s="110"/>
      <c r="BF871" s="110"/>
      <c r="BG871" s="110"/>
      <c r="BH871" s="110"/>
      <c r="BI871" s="110"/>
      <c r="BJ871" s="110"/>
      <c r="BK871" s="110"/>
      <c r="BL871" s="110"/>
      <c r="BM871" s="110"/>
      <c r="BN871" s="110"/>
      <c r="BO871" s="110"/>
      <c r="BP871" s="110"/>
      <c r="BQ871" s="110"/>
      <c r="BR871" s="110"/>
      <c r="BS871" s="110"/>
      <c r="BT871" s="110"/>
      <c r="BU871" s="110"/>
      <c r="BV871" s="110"/>
      <c r="BW871" s="110"/>
      <c r="BX871" s="110"/>
      <c r="BY871" s="110"/>
      <c r="BZ871" s="110"/>
      <c r="CA871" s="110"/>
      <c r="CB871" s="110"/>
      <c r="CC871" s="110"/>
    </row>
    <row r="872" spans="1:81" ht="12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  <c r="AU872" s="110"/>
      <c r="AV872" s="110"/>
      <c r="AW872" s="110"/>
      <c r="AX872" s="110"/>
      <c r="AY872" s="110"/>
      <c r="AZ872" s="110"/>
      <c r="BA872" s="110"/>
      <c r="BB872" s="110"/>
      <c r="BC872" s="110"/>
      <c r="BD872" s="110"/>
      <c r="BE872" s="110"/>
      <c r="BF872" s="110"/>
      <c r="BG872" s="110"/>
      <c r="BH872" s="110"/>
      <c r="BI872" s="110"/>
      <c r="BJ872" s="110"/>
      <c r="BK872" s="110"/>
      <c r="BL872" s="110"/>
      <c r="BM872" s="110"/>
      <c r="BN872" s="110"/>
      <c r="BO872" s="110"/>
      <c r="BP872" s="110"/>
      <c r="BQ872" s="110"/>
      <c r="BR872" s="110"/>
      <c r="BS872" s="110"/>
      <c r="BT872" s="110"/>
      <c r="BU872" s="110"/>
      <c r="BV872" s="110"/>
      <c r="BW872" s="110"/>
      <c r="BX872" s="110"/>
      <c r="BY872" s="110"/>
      <c r="BZ872" s="110"/>
      <c r="CA872" s="110"/>
      <c r="CB872" s="110"/>
      <c r="CC872" s="110"/>
    </row>
    <row r="873" spans="1:81" ht="12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  <c r="AS873" s="110"/>
      <c r="AT873" s="110"/>
      <c r="AU873" s="110"/>
      <c r="AV873" s="110"/>
      <c r="AW873" s="110"/>
      <c r="AX873" s="110"/>
      <c r="AY873" s="110"/>
      <c r="AZ873" s="110"/>
      <c r="BA873" s="110"/>
      <c r="BB873" s="110"/>
      <c r="BC873" s="110"/>
      <c r="BD873" s="110"/>
      <c r="BE873" s="110"/>
      <c r="BF873" s="110"/>
      <c r="BG873" s="110"/>
      <c r="BH873" s="110"/>
      <c r="BI873" s="110"/>
      <c r="BJ873" s="110"/>
      <c r="BK873" s="110"/>
      <c r="BL873" s="110"/>
      <c r="BM873" s="110"/>
      <c r="BN873" s="110"/>
      <c r="BO873" s="110"/>
      <c r="BP873" s="110"/>
      <c r="BQ873" s="110"/>
      <c r="BR873" s="110"/>
      <c r="BS873" s="110"/>
      <c r="BT873" s="110"/>
      <c r="BU873" s="110"/>
      <c r="BV873" s="110"/>
      <c r="BW873" s="110"/>
      <c r="BX873" s="110"/>
      <c r="BY873" s="110"/>
      <c r="BZ873" s="110"/>
      <c r="CA873" s="110"/>
      <c r="CB873" s="110"/>
      <c r="CC873" s="110"/>
    </row>
    <row r="874" spans="1:81" ht="12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  <c r="AS874" s="110"/>
      <c r="AT874" s="110"/>
      <c r="AU874" s="110"/>
      <c r="AV874" s="110"/>
      <c r="AW874" s="110"/>
      <c r="AX874" s="110"/>
      <c r="AY874" s="110"/>
      <c r="AZ874" s="110"/>
      <c r="BA874" s="110"/>
      <c r="BB874" s="110"/>
      <c r="BC874" s="110"/>
      <c r="BD874" s="110"/>
      <c r="BE874" s="110"/>
      <c r="BF874" s="110"/>
      <c r="BG874" s="110"/>
      <c r="BH874" s="110"/>
      <c r="BI874" s="110"/>
      <c r="BJ874" s="110"/>
      <c r="BK874" s="110"/>
      <c r="BL874" s="110"/>
      <c r="BM874" s="110"/>
      <c r="BN874" s="110"/>
      <c r="BO874" s="110"/>
      <c r="BP874" s="110"/>
      <c r="BQ874" s="110"/>
      <c r="BR874" s="110"/>
      <c r="BS874" s="110"/>
      <c r="BT874" s="110"/>
      <c r="BU874" s="110"/>
      <c r="BV874" s="110"/>
      <c r="BW874" s="110"/>
      <c r="BX874" s="110"/>
      <c r="BY874" s="110"/>
      <c r="BZ874" s="110"/>
      <c r="CA874" s="110"/>
      <c r="CB874" s="110"/>
      <c r="CC874" s="110"/>
    </row>
    <row r="875" spans="1:81" ht="12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  <c r="AU875" s="110"/>
      <c r="AV875" s="110"/>
      <c r="AW875" s="110"/>
      <c r="AX875" s="110"/>
      <c r="AY875" s="110"/>
      <c r="AZ875" s="110"/>
      <c r="BA875" s="110"/>
      <c r="BB875" s="110"/>
      <c r="BC875" s="110"/>
      <c r="BD875" s="110"/>
      <c r="BE875" s="110"/>
      <c r="BF875" s="110"/>
      <c r="BG875" s="110"/>
      <c r="BH875" s="110"/>
      <c r="BI875" s="110"/>
      <c r="BJ875" s="110"/>
      <c r="BK875" s="110"/>
      <c r="BL875" s="110"/>
      <c r="BM875" s="110"/>
      <c r="BN875" s="110"/>
      <c r="BO875" s="110"/>
      <c r="BP875" s="110"/>
      <c r="BQ875" s="110"/>
      <c r="BR875" s="110"/>
      <c r="BS875" s="110"/>
      <c r="BT875" s="110"/>
      <c r="BU875" s="110"/>
      <c r="BV875" s="110"/>
      <c r="BW875" s="110"/>
      <c r="BX875" s="110"/>
      <c r="BY875" s="110"/>
      <c r="BZ875" s="110"/>
      <c r="CA875" s="110"/>
      <c r="CB875" s="110"/>
      <c r="CC875" s="110"/>
    </row>
    <row r="876" spans="1:81" ht="12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  <c r="AS876" s="110"/>
      <c r="AT876" s="110"/>
      <c r="AU876" s="110"/>
      <c r="AV876" s="110"/>
      <c r="AW876" s="110"/>
      <c r="AX876" s="110"/>
      <c r="AY876" s="110"/>
      <c r="AZ876" s="110"/>
      <c r="BA876" s="110"/>
      <c r="BB876" s="110"/>
      <c r="BC876" s="110"/>
      <c r="BD876" s="110"/>
      <c r="BE876" s="110"/>
      <c r="BF876" s="110"/>
      <c r="BG876" s="110"/>
      <c r="BH876" s="110"/>
      <c r="BI876" s="110"/>
      <c r="BJ876" s="110"/>
      <c r="BK876" s="110"/>
      <c r="BL876" s="110"/>
      <c r="BM876" s="110"/>
      <c r="BN876" s="110"/>
      <c r="BO876" s="110"/>
      <c r="BP876" s="110"/>
      <c r="BQ876" s="110"/>
      <c r="BR876" s="110"/>
      <c r="BS876" s="110"/>
      <c r="BT876" s="110"/>
      <c r="BU876" s="110"/>
      <c r="BV876" s="110"/>
      <c r="BW876" s="110"/>
      <c r="BX876" s="110"/>
      <c r="BY876" s="110"/>
      <c r="BZ876" s="110"/>
      <c r="CA876" s="110"/>
      <c r="CB876" s="110"/>
      <c r="CC876" s="110"/>
    </row>
    <row r="877" spans="1:81" ht="12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  <c r="AU877" s="110"/>
      <c r="AV877" s="110"/>
      <c r="AW877" s="110"/>
      <c r="AX877" s="110"/>
      <c r="AY877" s="110"/>
      <c r="AZ877" s="110"/>
      <c r="BA877" s="110"/>
      <c r="BB877" s="110"/>
      <c r="BC877" s="110"/>
      <c r="BD877" s="110"/>
      <c r="BE877" s="110"/>
      <c r="BF877" s="110"/>
      <c r="BG877" s="110"/>
      <c r="BH877" s="110"/>
      <c r="BI877" s="110"/>
      <c r="BJ877" s="110"/>
      <c r="BK877" s="110"/>
      <c r="BL877" s="110"/>
      <c r="BM877" s="110"/>
      <c r="BN877" s="110"/>
      <c r="BO877" s="110"/>
      <c r="BP877" s="110"/>
      <c r="BQ877" s="110"/>
      <c r="BR877" s="110"/>
      <c r="BS877" s="110"/>
      <c r="BT877" s="110"/>
      <c r="BU877" s="110"/>
      <c r="BV877" s="110"/>
      <c r="BW877" s="110"/>
      <c r="BX877" s="110"/>
      <c r="BY877" s="110"/>
      <c r="BZ877" s="110"/>
      <c r="CA877" s="110"/>
      <c r="CB877" s="110"/>
      <c r="CC877" s="110"/>
    </row>
    <row r="878" spans="1:81" ht="12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  <c r="AS878" s="110"/>
      <c r="AT878" s="110"/>
      <c r="AU878" s="110"/>
      <c r="AV878" s="110"/>
      <c r="AW878" s="110"/>
      <c r="AX878" s="110"/>
      <c r="AY878" s="110"/>
      <c r="AZ878" s="110"/>
      <c r="BA878" s="110"/>
      <c r="BB878" s="110"/>
      <c r="BC878" s="110"/>
      <c r="BD878" s="110"/>
      <c r="BE878" s="110"/>
      <c r="BF878" s="110"/>
      <c r="BG878" s="110"/>
      <c r="BH878" s="110"/>
      <c r="BI878" s="110"/>
      <c r="BJ878" s="110"/>
      <c r="BK878" s="110"/>
      <c r="BL878" s="110"/>
      <c r="BM878" s="110"/>
      <c r="BN878" s="110"/>
      <c r="BO878" s="110"/>
      <c r="BP878" s="110"/>
      <c r="BQ878" s="110"/>
      <c r="BR878" s="110"/>
      <c r="BS878" s="110"/>
      <c r="BT878" s="110"/>
      <c r="BU878" s="110"/>
      <c r="BV878" s="110"/>
      <c r="BW878" s="110"/>
      <c r="BX878" s="110"/>
      <c r="BY878" s="110"/>
      <c r="BZ878" s="110"/>
      <c r="CA878" s="110"/>
      <c r="CB878" s="110"/>
      <c r="CC878" s="110"/>
    </row>
    <row r="879" spans="1:81" ht="12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  <c r="AS879" s="110"/>
      <c r="AT879" s="110"/>
      <c r="AU879" s="110"/>
      <c r="AV879" s="110"/>
      <c r="AW879" s="110"/>
      <c r="AX879" s="110"/>
      <c r="AY879" s="110"/>
      <c r="AZ879" s="110"/>
      <c r="BA879" s="110"/>
      <c r="BB879" s="110"/>
      <c r="BC879" s="110"/>
      <c r="BD879" s="110"/>
      <c r="BE879" s="110"/>
      <c r="BF879" s="110"/>
      <c r="BG879" s="110"/>
      <c r="BH879" s="110"/>
      <c r="BI879" s="110"/>
      <c r="BJ879" s="110"/>
      <c r="BK879" s="110"/>
      <c r="BL879" s="110"/>
      <c r="BM879" s="110"/>
      <c r="BN879" s="110"/>
      <c r="BO879" s="110"/>
      <c r="BP879" s="110"/>
      <c r="BQ879" s="110"/>
      <c r="BR879" s="110"/>
      <c r="BS879" s="110"/>
      <c r="BT879" s="110"/>
      <c r="BU879" s="110"/>
      <c r="BV879" s="110"/>
      <c r="BW879" s="110"/>
      <c r="BX879" s="110"/>
      <c r="BY879" s="110"/>
      <c r="BZ879" s="110"/>
      <c r="CA879" s="110"/>
      <c r="CB879" s="110"/>
      <c r="CC879" s="110"/>
    </row>
    <row r="880" spans="1:81" ht="12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  <c r="AS880" s="110"/>
      <c r="AT880" s="110"/>
      <c r="AU880" s="110"/>
      <c r="AV880" s="110"/>
      <c r="AW880" s="110"/>
      <c r="AX880" s="110"/>
      <c r="AY880" s="110"/>
      <c r="AZ880" s="110"/>
      <c r="BA880" s="110"/>
      <c r="BB880" s="110"/>
      <c r="BC880" s="110"/>
      <c r="BD880" s="110"/>
      <c r="BE880" s="110"/>
      <c r="BF880" s="110"/>
      <c r="BG880" s="110"/>
      <c r="BH880" s="110"/>
      <c r="BI880" s="110"/>
      <c r="BJ880" s="110"/>
      <c r="BK880" s="110"/>
      <c r="BL880" s="110"/>
      <c r="BM880" s="110"/>
      <c r="BN880" s="110"/>
      <c r="BO880" s="110"/>
      <c r="BP880" s="110"/>
      <c r="BQ880" s="110"/>
      <c r="BR880" s="110"/>
      <c r="BS880" s="110"/>
      <c r="BT880" s="110"/>
      <c r="BU880" s="110"/>
      <c r="BV880" s="110"/>
      <c r="BW880" s="110"/>
      <c r="BX880" s="110"/>
      <c r="BY880" s="110"/>
      <c r="BZ880" s="110"/>
      <c r="CA880" s="110"/>
      <c r="CB880" s="110"/>
      <c r="CC880" s="110"/>
    </row>
    <row r="881" spans="1:81" ht="12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  <c r="AS881" s="110"/>
      <c r="AT881" s="110"/>
      <c r="AU881" s="110"/>
      <c r="AV881" s="110"/>
      <c r="AW881" s="110"/>
      <c r="AX881" s="110"/>
      <c r="AY881" s="110"/>
      <c r="AZ881" s="110"/>
      <c r="BA881" s="110"/>
      <c r="BB881" s="110"/>
      <c r="BC881" s="110"/>
      <c r="BD881" s="110"/>
      <c r="BE881" s="110"/>
      <c r="BF881" s="110"/>
      <c r="BG881" s="110"/>
      <c r="BH881" s="110"/>
      <c r="BI881" s="110"/>
      <c r="BJ881" s="110"/>
      <c r="BK881" s="110"/>
      <c r="BL881" s="110"/>
      <c r="BM881" s="110"/>
      <c r="BN881" s="110"/>
      <c r="BO881" s="110"/>
      <c r="BP881" s="110"/>
      <c r="BQ881" s="110"/>
      <c r="BR881" s="110"/>
      <c r="BS881" s="110"/>
      <c r="BT881" s="110"/>
      <c r="BU881" s="110"/>
      <c r="BV881" s="110"/>
      <c r="BW881" s="110"/>
      <c r="BX881" s="110"/>
      <c r="BY881" s="110"/>
      <c r="BZ881" s="110"/>
      <c r="CA881" s="110"/>
      <c r="CB881" s="110"/>
      <c r="CC881" s="110"/>
    </row>
    <row r="882" spans="1:81" ht="12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  <c r="AS882" s="110"/>
      <c r="AT882" s="110"/>
      <c r="AU882" s="110"/>
      <c r="AV882" s="110"/>
      <c r="AW882" s="110"/>
      <c r="AX882" s="110"/>
      <c r="AY882" s="110"/>
      <c r="AZ882" s="110"/>
      <c r="BA882" s="110"/>
      <c r="BB882" s="110"/>
      <c r="BC882" s="110"/>
      <c r="BD882" s="110"/>
      <c r="BE882" s="110"/>
      <c r="BF882" s="110"/>
      <c r="BG882" s="110"/>
      <c r="BH882" s="110"/>
      <c r="BI882" s="110"/>
      <c r="BJ882" s="110"/>
      <c r="BK882" s="110"/>
      <c r="BL882" s="110"/>
      <c r="BM882" s="110"/>
      <c r="BN882" s="110"/>
      <c r="BO882" s="110"/>
      <c r="BP882" s="110"/>
      <c r="BQ882" s="110"/>
      <c r="BR882" s="110"/>
      <c r="BS882" s="110"/>
      <c r="BT882" s="110"/>
      <c r="BU882" s="110"/>
      <c r="BV882" s="110"/>
      <c r="BW882" s="110"/>
      <c r="BX882" s="110"/>
      <c r="BY882" s="110"/>
      <c r="BZ882" s="110"/>
      <c r="CA882" s="110"/>
      <c r="CB882" s="110"/>
      <c r="CC882" s="110"/>
    </row>
    <row r="883" spans="1:81" ht="12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  <c r="AS883" s="110"/>
      <c r="AT883" s="110"/>
      <c r="AU883" s="110"/>
      <c r="AV883" s="110"/>
      <c r="AW883" s="110"/>
      <c r="AX883" s="110"/>
      <c r="AY883" s="110"/>
      <c r="AZ883" s="110"/>
      <c r="BA883" s="110"/>
      <c r="BB883" s="110"/>
      <c r="BC883" s="110"/>
      <c r="BD883" s="110"/>
      <c r="BE883" s="110"/>
      <c r="BF883" s="110"/>
      <c r="BG883" s="110"/>
      <c r="BH883" s="110"/>
      <c r="BI883" s="110"/>
      <c r="BJ883" s="110"/>
      <c r="BK883" s="110"/>
      <c r="BL883" s="110"/>
      <c r="BM883" s="110"/>
      <c r="BN883" s="110"/>
      <c r="BO883" s="110"/>
      <c r="BP883" s="110"/>
      <c r="BQ883" s="110"/>
      <c r="BR883" s="110"/>
      <c r="BS883" s="110"/>
      <c r="BT883" s="110"/>
      <c r="BU883" s="110"/>
      <c r="BV883" s="110"/>
      <c r="BW883" s="110"/>
      <c r="BX883" s="110"/>
      <c r="BY883" s="110"/>
      <c r="BZ883" s="110"/>
      <c r="CA883" s="110"/>
      <c r="CB883" s="110"/>
      <c r="CC883" s="110"/>
    </row>
    <row r="884" spans="1:81" ht="12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  <c r="AS884" s="110"/>
      <c r="AT884" s="110"/>
      <c r="AU884" s="110"/>
      <c r="AV884" s="110"/>
      <c r="AW884" s="110"/>
      <c r="AX884" s="110"/>
      <c r="AY884" s="110"/>
      <c r="AZ884" s="110"/>
      <c r="BA884" s="110"/>
      <c r="BB884" s="110"/>
      <c r="BC884" s="110"/>
      <c r="BD884" s="110"/>
      <c r="BE884" s="110"/>
      <c r="BF884" s="110"/>
      <c r="BG884" s="110"/>
      <c r="BH884" s="110"/>
      <c r="BI884" s="110"/>
      <c r="BJ884" s="110"/>
      <c r="BK884" s="110"/>
      <c r="BL884" s="110"/>
      <c r="BM884" s="110"/>
      <c r="BN884" s="110"/>
      <c r="BO884" s="110"/>
      <c r="BP884" s="110"/>
      <c r="BQ884" s="110"/>
      <c r="BR884" s="110"/>
      <c r="BS884" s="110"/>
      <c r="BT884" s="110"/>
      <c r="BU884" s="110"/>
      <c r="BV884" s="110"/>
      <c r="BW884" s="110"/>
      <c r="BX884" s="110"/>
      <c r="BY884" s="110"/>
      <c r="BZ884" s="110"/>
      <c r="CA884" s="110"/>
      <c r="CB884" s="110"/>
      <c r="CC884" s="110"/>
    </row>
    <row r="885" spans="1:81" ht="12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  <c r="AS885" s="110"/>
      <c r="AT885" s="110"/>
      <c r="AU885" s="110"/>
      <c r="AV885" s="110"/>
      <c r="AW885" s="110"/>
      <c r="AX885" s="110"/>
      <c r="AY885" s="110"/>
      <c r="AZ885" s="110"/>
      <c r="BA885" s="110"/>
      <c r="BB885" s="110"/>
      <c r="BC885" s="110"/>
      <c r="BD885" s="110"/>
      <c r="BE885" s="110"/>
      <c r="BF885" s="110"/>
      <c r="BG885" s="110"/>
      <c r="BH885" s="110"/>
      <c r="BI885" s="110"/>
      <c r="BJ885" s="110"/>
      <c r="BK885" s="110"/>
      <c r="BL885" s="110"/>
      <c r="BM885" s="110"/>
      <c r="BN885" s="110"/>
      <c r="BO885" s="110"/>
      <c r="BP885" s="110"/>
      <c r="BQ885" s="110"/>
      <c r="BR885" s="110"/>
      <c r="BS885" s="110"/>
      <c r="BT885" s="110"/>
      <c r="BU885" s="110"/>
      <c r="BV885" s="110"/>
      <c r="BW885" s="110"/>
      <c r="BX885" s="110"/>
      <c r="BY885" s="110"/>
      <c r="BZ885" s="110"/>
      <c r="CA885" s="110"/>
      <c r="CB885" s="110"/>
      <c r="CC885" s="110"/>
    </row>
    <row r="886" spans="1:81" ht="12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  <c r="AS886" s="110"/>
      <c r="AT886" s="110"/>
      <c r="AU886" s="110"/>
      <c r="AV886" s="110"/>
      <c r="AW886" s="110"/>
      <c r="AX886" s="110"/>
      <c r="AY886" s="110"/>
      <c r="AZ886" s="110"/>
      <c r="BA886" s="110"/>
      <c r="BB886" s="110"/>
      <c r="BC886" s="110"/>
      <c r="BD886" s="110"/>
      <c r="BE886" s="110"/>
      <c r="BF886" s="110"/>
      <c r="BG886" s="110"/>
      <c r="BH886" s="110"/>
      <c r="BI886" s="110"/>
      <c r="BJ886" s="110"/>
      <c r="BK886" s="110"/>
      <c r="BL886" s="110"/>
      <c r="BM886" s="110"/>
      <c r="BN886" s="110"/>
      <c r="BO886" s="110"/>
      <c r="BP886" s="110"/>
      <c r="BQ886" s="110"/>
      <c r="BR886" s="110"/>
      <c r="BS886" s="110"/>
      <c r="BT886" s="110"/>
      <c r="BU886" s="110"/>
      <c r="BV886" s="110"/>
      <c r="BW886" s="110"/>
      <c r="BX886" s="110"/>
      <c r="BY886" s="110"/>
      <c r="BZ886" s="110"/>
      <c r="CA886" s="110"/>
      <c r="CB886" s="110"/>
      <c r="CC886" s="110"/>
    </row>
    <row r="887" spans="1:81" ht="12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  <c r="AS887" s="110"/>
      <c r="AT887" s="110"/>
      <c r="AU887" s="110"/>
      <c r="AV887" s="110"/>
      <c r="AW887" s="110"/>
      <c r="AX887" s="110"/>
      <c r="AY887" s="110"/>
      <c r="AZ887" s="110"/>
      <c r="BA887" s="110"/>
      <c r="BB887" s="110"/>
      <c r="BC887" s="110"/>
      <c r="BD887" s="110"/>
      <c r="BE887" s="110"/>
      <c r="BF887" s="110"/>
      <c r="BG887" s="110"/>
      <c r="BH887" s="110"/>
      <c r="BI887" s="110"/>
      <c r="BJ887" s="110"/>
      <c r="BK887" s="110"/>
      <c r="BL887" s="110"/>
      <c r="BM887" s="110"/>
      <c r="BN887" s="110"/>
      <c r="BO887" s="110"/>
      <c r="BP887" s="110"/>
      <c r="BQ887" s="110"/>
      <c r="BR887" s="110"/>
      <c r="BS887" s="110"/>
      <c r="BT887" s="110"/>
      <c r="BU887" s="110"/>
      <c r="BV887" s="110"/>
      <c r="BW887" s="110"/>
      <c r="BX887" s="110"/>
      <c r="BY887" s="110"/>
      <c r="BZ887" s="110"/>
      <c r="CA887" s="110"/>
      <c r="CB887" s="110"/>
      <c r="CC887" s="110"/>
    </row>
    <row r="888" spans="1:81" ht="12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  <c r="AS888" s="110"/>
      <c r="AT888" s="110"/>
      <c r="AU888" s="110"/>
      <c r="AV888" s="110"/>
      <c r="AW888" s="110"/>
      <c r="AX888" s="110"/>
      <c r="AY888" s="110"/>
      <c r="AZ888" s="110"/>
      <c r="BA888" s="110"/>
      <c r="BB888" s="110"/>
      <c r="BC888" s="110"/>
      <c r="BD888" s="110"/>
      <c r="BE888" s="110"/>
      <c r="BF888" s="110"/>
      <c r="BG888" s="110"/>
      <c r="BH888" s="110"/>
      <c r="BI888" s="110"/>
      <c r="BJ888" s="110"/>
      <c r="BK888" s="110"/>
      <c r="BL888" s="110"/>
      <c r="BM888" s="110"/>
      <c r="BN888" s="110"/>
      <c r="BO888" s="110"/>
      <c r="BP888" s="110"/>
      <c r="BQ888" s="110"/>
      <c r="BR888" s="110"/>
      <c r="BS888" s="110"/>
      <c r="BT888" s="110"/>
      <c r="BU888" s="110"/>
      <c r="BV888" s="110"/>
      <c r="BW888" s="110"/>
      <c r="BX888" s="110"/>
      <c r="BY888" s="110"/>
      <c r="BZ888" s="110"/>
      <c r="CA888" s="110"/>
      <c r="CB888" s="110"/>
      <c r="CC888" s="110"/>
    </row>
    <row r="889" spans="1:81" ht="12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  <c r="AS889" s="110"/>
      <c r="AT889" s="110"/>
      <c r="AU889" s="110"/>
      <c r="AV889" s="110"/>
      <c r="AW889" s="110"/>
      <c r="AX889" s="110"/>
      <c r="AY889" s="110"/>
      <c r="AZ889" s="110"/>
      <c r="BA889" s="110"/>
      <c r="BB889" s="110"/>
      <c r="BC889" s="110"/>
      <c r="BD889" s="110"/>
      <c r="BE889" s="110"/>
      <c r="BF889" s="110"/>
      <c r="BG889" s="110"/>
      <c r="BH889" s="110"/>
      <c r="BI889" s="110"/>
      <c r="BJ889" s="110"/>
      <c r="BK889" s="110"/>
      <c r="BL889" s="110"/>
      <c r="BM889" s="110"/>
      <c r="BN889" s="110"/>
      <c r="BO889" s="110"/>
      <c r="BP889" s="110"/>
      <c r="BQ889" s="110"/>
      <c r="BR889" s="110"/>
      <c r="BS889" s="110"/>
      <c r="BT889" s="110"/>
      <c r="BU889" s="110"/>
      <c r="BV889" s="110"/>
      <c r="BW889" s="110"/>
      <c r="BX889" s="110"/>
      <c r="BY889" s="110"/>
      <c r="BZ889" s="110"/>
      <c r="CA889" s="110"/>
      <c r="CB889" s="110"/>
      <c r="CC889" s="110"/>
    </row>
    <row r="890" spans="1:81" ht="12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  <c r="AS890" s="110"/>
      <c r="AT890" s="110"/>
      <c r="AU890" s="110"/>
      <c r="AV890" s="110"/>
      <c r="AW890" s="110"/>
      <c r="AX890" s="110"/>
      <c r="AY890" s="110"/>
      <c r="AZ890" s="110"/>
      <c r="BA890" s="110"/>
      <c r="BB890" s="110"/>
      <c r="BC890" s="110"/>
      <c r="BD890" s="110"/>
      <c r="BE890" s="110"/>
      <c r="BF890" s="110"/>
      <c r="BG890" s="110"/>
      <c r="BH890" s="110"/>
      <c r="BI890" s="110"/>
      <c r="BJ890" s="110"/>
      <c r="BK890" s="110"/>
      <c r="BL890" s="110"/>
      <c r="BM890" s="110"/>
      <c r="BN890" s="110"/>
      <c r="BO890" s="110"/>
      <c r="BP890" s="110"/>
      <c r="BQ890" s="110"/>
      <c r="BR890" s="110"/>
      <c r="BS890" s="110"/>
      <c r="BT890" s="110"/>
      <c r="BU890" s="110"/>
      <c r="BV890" s="110"/>
      <c r="BW890" s="110"/>
      <c r="BX890" s="110"/>
      <c r="BY890" s="110"/>
      <c r="BZ890" s="110"/>
      <c r="CA890" s="110"/>
      <c r="CB890" s="110"/>
      <c r="CC890" s="110"/>
    </row>
    <row r="891" spans="1:81" ht="12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  <c r="AS891" s="110"/>
      <c r="AT891" s="110"/>
      <c r="AU891" s="110"/>
      <c r="AV891" s="110"/>
      <c r="AW891" s="110"/>
      <c r="AX891" s="110"/>
      <c r="AY891" s="110"/>
      <c r="AZ891" s="110"/>
      <c r="BA891" s="110"/>
      <c r="BB891" s="110"/>
      <c r="BC891" s="110"/>
      <c r="BD891" s="110"/>
      <c r="BE891" s="110"/>
      <c r="BF891" s="110"/>
      <c r="BG891" s="110"/>
      <c r="BH891" s="110"/>
      <c r="BI891" s="110"/>
      <c r="BJ891" s="110"/>
      <c r="BK891" s="110"/>
      <c r="BL891" s="110"/>
      <c r="BM891" s="110"/>
      <c r="BN891" s="110"/>
      <c r="BO891" s="110"/>
      <c r="BP891" s="110"/>
      <c r="BQ891" s="110"/>
      <c r="BR891" s="110"/>
      <c r="BS891" s="110"/>
      <c r="BT891" s="110"/>
      <c r="BU891" s="110"/>
      <c r="BV891" s="110"/>
      <c r="BW891" s="110"/>
      <c r="BX891" s="110"/>
      <c r="BY891" s="110"/>
      <c r="BZ891" s="110"/>
      <c r="CA891" s="110"/>
      <c r="CB891" s="110"/>
      <c r="CC891" s="110"/>
    </row>
    <row r="892" spans="1:81" ht="12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  <c r="AU892" s="110"/>
      <c r="AV892" s="110"/>
      <c r="AW892" s="110"/>
      <c r="AX892" s="110"/>
      <c r="AY892" s="110"/>
      <c r="AZ892" s="110"/>
      <c r="BA892" s="110"/>
      <c r="BB892" s="110"/>
      <c r="BC892" s="110"/>
      <c r="BD892" s="110"/>
      <c r="BE892" s="110"/>
      <c r="BF892" s="110"/>
      <c r="BG892" s="110"/>
      <c r="BH892" s="110"/>
      <c r="BI892" s="110"/>
      <c r="BJ892" s="110"/>
      <c r="BK892" s="110"/>
      <c r="BL892" s="110"/>
      <c r="BM892" s="110"/>
      <c r="BN892" s="110"/>
      <c r="BO892" s="110"/>
      <c r="BP892" s="110"/>
      <c r="BQ892" s="110"/>
      <c r="BR892" s="110"/>
      <c r="BS892" s="110"/>
      <c r="BT892" s="110"/>
      <c r="BU892" s="110"/>
      <c r="BV892" s="110"/>
      <c r="BW892" s="110"/>
      <c r="BX892" s="110"/>
      <c r="BY892" s="110"/>
      <c r="BZ892" s="110"/>
      <c r="CA892" s="110"/>
      <c r="CB892" s="110"/>
      <c r="CC892" s="110"/>
    </row>
    <row r="893" spans="1:81" ht="12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  <c r="AU893" s="110"/>
      <c r="AV893" s="110"/>
      <c r="AW893" s="110"/>
      <c r="AX893" s="110"/>
      <c r="AY893" s="110"/>
      <c r="AZ893" s="110"/>
      <c r="BA893" s="110"/>
      <c r="BB893" s="110"/>
      <c r="BC893" s="110"/>
      <c r="BD893" s="110"/>
      <c r="BE893" s="110"/>
      <c r="BF893" s="110"/>
      <c r="BG893" s="110"/>
      <c r="BH893" s="110"/>
      <c r="BI893" s="110"/>
      <c r="BJ893" s="110"/>
      <c r="BK893" s="110"/>
      <c r="BL893" s="110"/>
      <c r="BM893" s="110"/>
      <c r="BN893" s="110"/>
      <c r="BO893" s="110"/>
      <c r="BP893" s="110"/>
      <c r="BQ893" s="110"/>
      <c r="BR893" s="110"/>
      <c r="BS893" s="110"/>
      <c r="BT893" s="110"/>
      <c r="BU893" s="110"/>
      <c r="BV893" s="110"/>
      <c r="BW893" s="110"/>
      <c r="BX893" s="110"/>
      <c r="BY893" s="110"/>
      <c r="BZ893" s="110"/>
      <c r="CA893" s="110"/>
      <c r="CB893" s="110"/>
      <c r="CC893" s="110"/>
    </row>
    <row r="894" spans="1:81" ht="12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  <c r="AS894" s="110"/>
      <c r="AT894" s="110"/>
      <c r="AU894" s="110"/>
      <c r="AV894" s="110"/>
      <c r="AW894" s="110"/>
      <c r="AX894" s="110"/>
      <c r="AY894" s="110"/>
      <c r="AZ894" s="110"/>
      <c r="BA894" s="110"/>
      <c r="BB894" s="110"/>
      <c r="BC894" s="110"/>
      <c r="BD894" s="110"/>
      <c r="BE894" s="110"/>
      <c r="BF894" s="110"/>
      <c r="BG894" s="110"/>
      <c r="BH894" s="110"/>
      <c r="BI894" s="110"/>
      <c r="BJ894" s="110"/>
      <c r="BK894" s="110"/>
      <c r="BL894" s="110"/>
      <c r="BM894" s="110"/>
      <c r="BN894" s="110"/>
      <c r="BO894" s="110"/>
      <c r="BP894" s="110"/>
      <c r="BQ894" s="110"/>
      <c r="BR894" s="110"/>
      <c r="BS894" s="110"/>
      <c r="BT894" s="110"/>
      <c r="BU894" s="110"/>
      <c r="BV894" s="110"/>
      <c r="BW894" s="110"/>
      <c r="BX894" s="110"/>
      <c r="BY894" s="110"/>
      <c r="BZ894" s="110"/>
      <c r="CA894" s="110"/>
      <c r="CB894" s="110"/>
      <c r="CC894" s="110"/>
    </row>
    <row r="895" spans="1:81" ht="12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  <c r="AS895" s="110"/>
      <c r="AT895" s="110"/>
      <c r="AU895" s="110"/>
      <c r="AV895" s="110"/>
      <c r="AW895" s="110"/>
      <c r="AX895" s="110"/>
      <c r="AY895" s="110"/>
      <c r="AZ895" s="110"/>
      <c r="BA895" s="110"/>
      <c r="BB895" s="110"/>
      <c r="BC895" s="110"/>
      <c r="BD895" s="110"/>
      <c r="BE895" s="110"/>
      <c r="BF895" s="110"/>
      <c r="BG895" s="110"/>
      <c r="BH895" s="110"/>
      <c r="BI895" s="110"/>
      <c r="BJ895" s="110"/>
      <c r="BK895" s="110"/>
      <c r="BL895" s="110"/>
      <c r="BM895" s="110"/>
      <c r="BN895" s="110"/>
      <c r="BO895" s="110"/>
      <c r="BP895" s="110"/>
      <c r="BQ895" s="110"/>
      <c r="BR895" s="110"/>
      <c r="BS895" s="110"/>
      <c r="BT895" s="110"/>
      <c r="BU895" s="110"/>
      <c r="BV895" s="110"/>
      <c r="BW895" s="110"/>
      <c r="BX895" s="110"/>
      <c r="BY895" s="110"/>
      <c r="BZ895" s="110"/>
      <c r="CA895" s="110"/>
      <c r="CB895" s="110"/>
      <c r="CC895" s="110"/>
    </row>
    <row r="896" spans="1:81" ht="12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  <c r="AS896" s="110"/>
      <c r="AT896" s="110"/>
      <c r="AU896" s="110"/>
      <c r="AV896" s="110"/>
      <c r="AW896" s="110"/>
      <c r="AX896" s="110"/>
      <c r="AY896" s="110"/>
      <c r="AZ896" s="110"/>
      <c r="BA896" s="110"/>
      <c r="BB896" s="110"/>
      <c r="BC896" s="110"/>
      <c r="BD896" s="110"/>
      <c r="BE896" s="110"/>
      <c r="BF896" s="110"/>
      <c r="BG896" s="110"/>
      <c r="BH896" s="110"/>
      <c r="BI896" s="110"/>
      <c r="BJ896" s="110"/>
      <c r="BK896" s="110"/>
      <c r="BL896" s="110"/>
      <c r="BM896" s="110"/>
      <c r="BN896" s="110"/>
      <c r="BO896" s="110"/>
      <c r="BP896" s="110"/>
      <c r="BQ896" s="110"/>
      <c r="BR896" s="110"/>
      <c r="BS896" s="110"/>
      <c r="BT896" s="110"/>
      <c r="BU896" s="110"/>
      <c r="BV896" s="110"/>
      <c r="BW896" s="110"/>
      <c r="BX896" s="110"/>
      <c r="BY896" s="110"/>
      <c r="BZ896" s="110"/>
      <c r="CA896" s="110"/>
      <c r="CB896" s="110"/>
      <c r="CC896" s="110"/>
    </row>
    <row r="897" spans="1:81" ht="12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  <c r="AS897" s="110"/>
      <c r="AT897" s="110"/>
      <c r="AU897" s="110"/>
      <c r="AV897" s="110"/>
      <c r="AW897" s="110"/>
      <c r="AX897" s="110"/>
      <c r="AY897" s="110"/>
      <c r="AZ897" s="110"/>
      <c r="BA897" s="110"/>
      <c r="BB897" s="110"/>
      <c r="BC897" s="110"/>
      <c r="BD897" s="110"/>
      <c r="BE897" s="110"/>
      <c r="BF897" s="110"/>
      <c r="BG897" s="110"/>
      <c r="BH897" s="110"/>
      <c r="BI897" s="110"/>
      <c r="BJ897" s="110"/>
      <c r="BK897" s="110"/>
      <c r="BL897" s="110"/>
      <c r="BM897" s="110"/>
      <c r="BN897" s="110"/>
      <c r="BO897" s="110"/>
      <c r="BP897" s="110"/>
      <c r="BQ897" s="110"/>
      <c r="BR897" s="110"/>
      <c r="BS897" s="110"/>
      <c r="BT897" s="110"/>
      <c r="BU897" s="110"/>
      <c r="BV897" s="110"/>
      <c r="BW897" s="110"/>
      <c r="BX897" s="110"/>
      <c r="BY897" s="110"/>
      <c r="BZ897" s="110"/>
      <c r="CA897" s="110"/>
      <c r="CB897" s="110"/>
      <c r="CC897" s="110"/>
    </row>
    <row r="898" spans="1:81" ht="12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  <c r="AS898" s="110"/>
      <c r="AT898" s="110"/>
      <c r="AU898" s="110"/>
      <c r="AV898" s="110"/>
      <c r="AW898" s="110"/>
      <c r="AX898" s="110"/>
      <c r="AY898" s="110"/>
      <c r="AZ898" s="110"/>
      <c r="BA898" s="110"/>
      <c r="BB898" s="110"/>
      <c r="BC898" s="110"/>
      <c r="BD898" s="110"/>
      <c r="BE898" s="110"/>
      <c r="BF898" s="110"/>
      <c r="BG898" s="110"/>
      <c r="BH898" s="110"/>
      <c r="BI898" s="110"/>
      <c r="BJ898" s="110"/>
      <c r="BK898" s="110"/>
      <c r="BL898" s="110"/>
      <c r="BM898" s="110"/>
      <c r="BN898" s="110"/>
      <c r="BO898" s="110"/>
      <c r="BP898" s="110"/>
      <c r="BQ898" s="110"/>
      <c r="BR898" s="110"/>
      <c r="BS898" s="110"/>
      <c r="BT898" s="110"/>
      <c r="BU898" s="110"/>
      <c r="BV898" s="110"/>
      <c r="BW898" s="110"/>
      <c r="BX898" s="110"/>
      <c r="BY898" s="110"/>
      <c r="BZ898" s="110"/>
      <c r="CA898" s="110"/>
      <c r="CB898" s="110"/>
      <c r="CC898" s="110"/>
    </row>
    <row r="899" spans="1:81" ht="12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  <c r="AU899" s="110"/>
      <c r="AV899" s="110"/>
      <c r="AW899" s="110"/>
      <c r="AX899" s="110"/>
      <c r="AY899" s="110"/>
      <c r="AZ899" s="110"/>
      <c r="BA899" s="110"/>
      <c r="BB899" s="110"/>
      <c r="BC899" s="110"/>
      <c r="BD899" s="110"/>
      <c r="BE899" s="110"/>
      <c r="BF899" s="110"/>
      <c r="BG899" s="110"/>
      <c r="BH899" s="110"/>
      <c r="BI899" s="110"/>
      <c r="BJ899" s="110"/>
      <c r="BK899" s="110"/>
      <c r="BL899" s="110"/>
      <c r="BM899" s="110"/>
      <c r="BN899" s="110"/>
      <c r="BO899" s="110"/>
      <c r="BP899" s="110"/>
      <c r="BQ899" s="110"/>
      <c r="BR899" s="110"/>
      <c r="BS899" s="110"/>
      <c r="BT899" s="110"/>
      <c r="BU899" s="110"/>
      <c r="BV899" s="110"/>
      <c r="BW899" s="110"/>
      <c r="BX899" s="110"/>
      <c r="BY899" s="110"/>
      <c r="BZ899" s="110"/>
      <c r="CA899" s="110"/>
      <c r="CB899" s="110"/>
      <c r="CC899" s="110"/>
    </row>
    <row r="900" spans="1:81" ht="12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  <c r="AU900" s="110"/>
      <c r="AV900" s="110"/>
      <c r="AW900" s="110"/>
      <c r="AX900" s="110"/>
      <c r="AY900" s="110"/>
      <c r="AZ900" s="110"/>
      <c r="BA900" s="110"/>
      <c r="BB900" s="110"/>
      <c r="BC900" s="110"/>
      <c r="BD900" s="110"/>
      <c r="BE900" s="110"/>
      <c r="BF900" s="110"/>
      <c r="BG900" s="110"/>
      <c r="BH900" s="110"/>
      <c r="BI900" s="110"/>
      <c r="BJ900" s="110"/>
      <c r="BK900" s="110"/>
      <c r="BL900" s="110"/>
      <c r="BM900" s="110"/>
      <c r="BN900" s="110"/>
      <c r="BO900" s="110"/>
      <c r="BP900" s="110"/>
      <c r="BQ900" s="110"/>
      <c r="BR900" s="110"/>
      <c r="BS900" s="110"/>
      <c r="BT900" s="110"/>
      <c r="BU900" s="110"/>
      <c r="BV900" s="110"/>
      <c r="BW900" s="110"/>
      <c r="BX900" s="110"/>
      <c r="BY900" s="110"/>
      <c r="BZ900" s="110"/>
      <c r="CA900" s="110"/>
      <c r="CB900" s="110"/>
      <c r="CC900" s="110"/>
    </row>
    <row r="901" spans="1:81" ht="12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  <c r="AS901" s="110"/>
      <c r="AT901" s="110"/>
      <c r="AU901" s="110"/>
      <c r="AV901" s="110"/>
      <c r="AW901" s="110"/>
      <c r="AX901" s="110"/>
      <c r="AY901" s="110"/>
      <c r="AZ901" s="110"/>
      <c r="BA901" s="110"/>
      <c r="BB901" s="110"/>
      <c r="BC901" s="110"/>
      <c r="BD901" s="110"/>
      <c r="BE901" s="110"/>
      <c r="BF901" s="110"/>
      <c r="BG901" s="110"/>
      <c r="BH901" s="110"/>
      <c r="BI901" s="110"/>
      <c r="BJ901" s="110"/>
      <c r="BK901" s="110"/>
      <c r="BL901" s="110"/>
      <c r="BM901" s="110"/>
      <c r="BN901" s="110"/>
      <c r="BO901" s="110"/>
      <c r="BP901" s="110"/>
      <c r="BQ901" s="110"/>
      <c r="BR901" s="110"/>
      <c r="BS901" s="110"/>
      <c r="BT901" s="110"/>
      <c r="BU901" s="110"/>
      <c r="BV901" s="110"/>
      <c r="BW901" s="110"/>
      <c r="BX901" s="110"/>
      <c r="BY901" s="110"/>
      <c r="BZ901" s="110"/>
      <c r="CA901" s="110"/>
      <c r="CB901" s="110"/>
      <c r="CC901" s="110"/>
    </row>
    <row r="902" spans="1:81" ht="12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  <c r="AS902" s="110"/>
      <c r="AT902" s="110"/>
      <c r="AU902" s="110"/>
      <c r="AV902" s="110"/>
      <c r="AW902" s="110"/>
      <c r="AX902" s="110"/>
      <c r="AY902" s="110"/>
      <c r="AZ902" s="110"/>
      <c r="BA902" s="110"/>
      <c r="BB902" s="110"/>
      <c r="BC902" s="110"/>
      <c r="BD902" s="110"/>
      <c r="BE902" s="110"/>
      <c r="BF902" s="110"/>
      <c r="BG902" s="110"/>
      <c r="BH902" s="110"/>
      <c r="BI902" s="110"/>
      <c r="BJ902" s="110"/>
      <c r="BK902" s="110"/>
      <c r="BL902" s="110"/>
      <c r="BM902" s="110"/>
      <c r="BN902" s="110"/>
      <c r="BO902" s="110"/>
      <c r="BP902" s="110"/>
      <c r="BQ902" s="110"/>
      <c r="BR902" s="110"/>
      <c r="BS902" s="110"/>
      <c r="BT902" s="110"/>
      <c r="BU902" s="110"/>
      <c r="BV902" s="110"/>
      <c r="BW902" s="110"/>
      <c r="BX902" s="110"/>
      <c r="BY902" s="110"/>
      <c r="BZ902" s="110"/>
      <c r="CA902" s="110"/>
      <c r="CB902" s="110"/>
      <c r="CC902" s="110"/>
    </row>
    <row r="903" spans="1:81" ht="12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  <c r="AU903" s="110"/>
      <c r="AV903" s="110"/>
      <c r="AW903" s="110"/>
      <c r="AX903" s="110"/>
      <c r="AY903" s="110"/>
      <c r="AZ903" s="110"/>
      <c r="BA903" s="110"/>
      <c r="BB903" s="110"/>
      <c r="BC903" s="110"/>
      <c r="BD903" s="110"/>
      <c r="BE903" s="110"/>
      <c r="BF903" s="110"/>
      <c r="BG903" s="110"/>
      <c r="BH903" s="110"/>
      <c r="BI903" s="110"/>
      <c r="BJ903" s="110"/>
      <c r="BK903" s="110"/>
      <c r="BL903" s="110"/>
      <c r="BM903" s="110"/>
      <c r="BN903" s="110"/>
      <c r="BO903" s="110"/>
      <c r="BP903" s="110"/>
      <c r="BQ903" s="110"/>
      <c r="BR903" s="110"/>
      <c r="BS903" s="110"/>
      <c r="BT903" s="110"/>
      <c r="BU903" s="110"/>
      <c r="BV903" s="110"/>
      <c r="BW903" s="110"/>
      <c r="BX903" s="110"/>
      <c r="BY903" s="110"/>
      <c r="BZ903" s="110"/>
      <c r="CA903" s="110"/>
      <c r="CB903" s="110"/>
      <c r="CC903" s="110"/>
    </row>
    <row r="904" spans="1:81" ht="12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  <c r="AU904" s="110"/>
      <c r="AV904" s="110"/>
      <c r="AW904" s="110"/>
      <c r="AX904" s="110"/>
      <c r="AY904" s="110"/>
      <c r="AZ904" s="110"/>
      <c r="BA904" s="110"/>
      <c r="BB904" s="110"/>
      <c r="BC904" s="110"/>
      <c r="BD904" s="110"/>
      <c r="BE904" s="110"/>
      <c r="BF904" s="110"/>
      <c r="BG904" s="110"/>
      <c r="BH904" s="110"/>
      <c r="BI904" s="110"/>
      <c r="BJ904" s="110"/>
      <c r="BK904" s="110"/>
      <c r="BL904" s="110"/>
      <c r="BM904" s="110"/>
      <c r="BN904" s="110"/>
      <c r="BO904" s="110"/>
      <c r="BP904" s="110"/>
      <c r="BQ904" s="110"/>
      <c r="BR904" s="110"/>
      <c r="BS904" s="110"/>
      <c r="BT904" s="110"/>
      <c r="BU904" s="110"/>
      <c r="BV904" s="110"/>
      <c r="BW904" s="110"/>
      <c r="BX904" s="110"/>
      <c r="BY904" s="110"/>
      <c r="BZ904" s="110"/>
      <c r="CA904" s="110"/>
      <c r="CB904" s="110"/>
      <c r="CC904" s="110"/>
    </row>
    <row r="905" spans="1:81" ht="12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  <c r="AS905" s="110"/>
      <c r="AT905" s="110"/>
      <c r="AU905" s="110"/>
      <c r="AV905" s="110"/>
      <c r="AW905" s="110"/>
      <c r="AX905" s="110"/>
      <c r="AY905" s="110"/>
      <c r="AZ905" s="110"/>
      <c r="BA905" s="110"/>
      <c r="BB905" s="110"/>
      <c r="BC905" s="110"/>
      <c r="BD905" s="110"/>
      <c r="BE905" s="110"/>
      <c r="BF905" s="110"/>
      <c r="BG905" s="110"/>
      <c r="BH905" s="110"/>
      <c r="BI905" s="110"/>
      <c r="BJ905" s="110"/>
      <c r="BK905" s="110"/>
      <c r="BL905" s="110"/>
      <c r="BM905" s="110"/>
      <c r="BN905" s="110"/>
      <c r="BO905" s="110"/>
      <c r="BP905" s="110"/>
      <c r="BQ905" s="110"/>
      <c r="BR905" s="110"/>
      <c r="BS905" s="110"/>
      <c r="BT905" s="110"/>
      <c r="BU905" s="110"/>
      <c r="BV905" s="110"/>
      <c r="BW905" s="110"/>
      <c r="BX905" s="110"/>
      <c r="BY905" s="110"/>
      <c r="BZ905" s="110"/>
      <c r="CA905" s="110"/>
      <c r="CB905" s="110"/>
      <c r="CC905" s="110"/>
    </row>
    <row r="906" spans="1:81" ht="12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  <c r="AS906" s="110"/>
      <c r="AT906" s="110"/>
      <c r="AU906" s="110"/>
      <c r="AV906" s="110"/>
      <c r="AW906" s="110"/>
      <c r="AX906" s="110"/>
      <c r="AY906" s="110"/>
      <c r="AZ906" s="110"/>
      <c r="BA906" s="110"/>
      <c r="BB906" s="110"/>
      <c r="BC906" s="110"/>
      <c r="BD906" s="110"/>
      <c r="BE906" s="110"/>
      <c r="BF906" s="110"/>
      <c r="BG906" s="110"/>
      <c r="BH906" s="110"/>
      <c r="BI906" s="110"/>
      <c r="BJ906" s="110"/>
      <c r="BK906" s="110"/>
      <c r="BL906" s="110"/>
      <c r="BM906" s="110"/>
      <c r="BN906" s="110"/>
      <c r="BO906" s="110"/>
      <c r="BP906" s="110"/>
      <c r="BQ906" s="110"/>
      <c r="BR906" s="110"/>
      <c r="BS906" s="110"/>
      <c r="BT906" s="110"/>
      <c r="BU906" s="110"/>
      <c r="BV906" s="110"/>
      <c r="BW906" s="110"/>
      <c r="BX906" s="110"/>
      <c r="BY906" s="110"/>
      <c r="BZ906" s="110"/>
      <c r="CA906" s="110"/>
      <c r="CB906" s="110"/>
      <c r="CC906" s="110"/>
    </row>
    <row r="907" spans="1:81" ht="12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  <c r="AU907" s="110"/>
      <c r="AV907" s="110"/>
      <c r="AW907" s="110"/>
      <c r="AX907" s="110"/>
      <c r="AY907" s="110"/>
      <c r="AZ907" s="110"/>
      <c r="BA907" s="110"/>
      <c r="BB907" s="110"/>
      <c r="BC907" s="110"/>
      <c r="BD907" s="110"/>
      <c r="BE907" s="110"/>
      <c r="BF907" s="110"/>
      <c r="BG907" s="110"/>
      <c r="BH907" s="110"/>
      <c r="BI907" s="110"/>
      <c r="BJ907" s="110"/>
      <c r="BK907" s="110"/>
      <c r="BL907" s="110"/>
      <c r="BM907" s="110"/>
      <c r="BN907" s="110"/>
      <c r="BO907" s="110"/>
      <c r="BP907" s="110"/>
      <c r="BQ907" s="110"/>
      <c r="BR907" s="110"/>
      <c r="BS907" s="110"/>
      <c r="BT907" s="110"/>
      <c r="BU907" s="110"/>
      <c r="BV907" s="110"/>
      <c r="BW907" s="110"/>
      <c r="BX907" s="110"/>
      <c r="BY907" s="110"/>
      <c r="BZ907" s="110"/>
      <c r="CA907" s="110"/>
      <c r="CB907" s="110"/>
      <c r="CC907" s="110"/>
    </row>
    <row r="908" spans="1:81" ht="12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  <c r="AU908" s="110"/>
      <c r="AV908" s="110"/>
      <c r="AW908" s="110"/>
      <c r="AX908" s="110"/>
      <c r="AY908" s="110"/>
      <c r="AZ908" s="110"/>
      <c r="BA908" s="110"/>
      <c r="BB908" s="110"/>
      <c r="BC908" s="110"/>
      <c r="BD908" s="110"/>
      <c r="BE908" s="110"/>
      <c r="BF908" s="110"/>
      <c r="BG908" s="110"/>
      <c r="BH908" s="110"/>
      <c r="BI908" s="110"/>
      <c r="BJ908" s="110"/>
      <c r="BK908" s="110"/>
      <c r="BL908" s="110"/>
      <c r="BM908" s="110"/>
      <c r="BN908" s="110"/>
      <c r="BO908" s="110"/>
      <c r="BP908" s="110"/>
      <c r="BQ908" s="110"/>
      <c r="BR908" s="110"/>
      <c r="BS908" s="110"/>
      <c r="BT908" s="110"/>
      <c r="BU908" s="110"/>
      <c r="BV908" s="110"/>
      <c r="BW908" s="110"/>
      <c r="BX908" s="110"/>
      <c r="BY908" s="110"/>
      <c r="BZ908" s="110"/>
      <c r="CA908" s="110"/>
      <c r="CB908" s="110"/>
      <c r="CC908" s="110"/>
    </row>
    <row r="909" spans="1:81" ht="12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  <c r="AS909" s="110"/>
      <c r="AT909" s="110"/>
      <c r="AU909" s="110"/>
      <c r="AV909" s="110"/>
      <c r="AW909" s="110"/>
      <c r="AX909" s="110"/>
      <c r="AY909" s="110"/>
      <c r="AZ909" s="110"/>
      <c r="BA909" s="110"/>
      <c r="BB909" s="110"/>
      <c r="BC909" s="110"/>
      <c r="BD909" s="110"/>
      <c r="BE909" s="110"/>
      <c r="BF909" s="110"/>
      <c r="BG909" s="110"/>
      <c r="BH909" s="110"/>
      <c r="BI909" s="110"/>
      <c r="BJ909" s="110"/>
      <c r="BK909" s="110"/>
      <c r="BL909" s="110"/>
      <c r="BM909" s="110"/>
      <c r="BN909" s="110"/>
      <c r="BO909" s="110"/>
      <c r="BP909" s="110"/>
      <c r="BQ909" s="110"/>
      <c r="BR909" s="110"/>
      <c r="BS909" s="110"/>
      <c r="BT909" s="110"/>
      <c r="BU909" s="110"/>
      <c r="BV909" s="110"/>
      <c r="BW909" s="110"/>
      <c r="BX909" s="110"/>
      <c r="BY909" s="110"/>
      <c r="BZ909" s="110"/>
      <c r="CA909" s="110"/>
      <c r="CB909" s="110"/>
      <c r="CC909" s="110"/>
    </row>
    <row r="910" spans="1:81" ht="12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  <c r="AS910" s="110"/>
      <c r="AT910" s="110"/>
      <c r="AU910" s="110"/>
      <c r="AV910" s="110"/>
      <c r="AW910" s="110"/>
      <c r="AX910" s="110"/>
      <c r="AY910" s="110"/>
      <c r="AZ910" s="110"/>
      <c r="BA910" s="110"/>
      <c r="BB910" s="110"/>
      <c r="BC910" s="110"/>
      <c r="BD910" s="110"/>
      <c r="BE910" s="110"/>
      <c r="BF910" s="110"/>
      <c r="BG910" s="110"/>
      <c r="BH910" s="110"/>
      <c r="BI910" s="110"/>
      <c r="BJ910" s="110"/>
      <c r="BK910" s="110"/>
      <c r="BL910" s="110"/>
      <c r="BM910" s="110"/>
      <c r="BN910" s="110"/>
      <c r="BO910" s="110"/>
      <c r="BP910" s="110"/>
      <c r="BQ910" s="110"/>
      <c r="BR910" s="110"/>
      <c r="BS910" s="110"/>
      <c r="BT910" s="110"/>
      <c r="BU910" s="110"/>
      <c r="BV910" s="110"/>
      <c r="BW910" s="110"/>
      <c r="BX910" s="110"/>
      <c r="BY910" s="110"/>
      <c r="BZ910" s="110"/>
      <c r="CA910" s="110"/>
      <c r="CB910" s="110"/>
      <c r="CC910" s="110"/>
    </row>
    <row r="911" spans="1:81" ht="12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  <c r="AU911" s="110"/>
      <c r="AV911" s="110"/>
      <c r="AW911" s="110"/>
      <c r="AX911" s="110"/>
      <c r="AY911" s="110"/>
      <c r="AZ911" s="110"/>
      <c r="BA911" s="110"/>
      <c r="BB911" s="110"/>
      <c r="BC911" s="110"/>
      <c r="BD911" s="110"/>
      <c r="BE911" s="110"/>
      <c r="BF911" s="110"/>
      <c r="BG911" s="110"/>
      <c r="BH911" s="110"/>
      <c r="BI911" s="110"/>
      <c r="BJ911" s="110"/>
      <c r="BK911" s="110"/>
      <c r="BL911" s="110"/>
      <c r="BM911" s="110"/>
      <c r="BN911" s="110"/>
      <c r="BO911" s="110"/>
      <c r="BP911" s="110"/>
      <c r="BQ911" s="110"/>
      <c r="BR911" s="110"/>
      <c r="BS911" s="110"/>
      <c r="BT911" s="110"/>
      <c r="BU911" s="110"/>
      <c r="BV911" s="110"/>
      <c r="BW911" s="110"/>
      <c r="BX911" s="110"/>
      <c r="BY911" s="110"/>
      <c r="BZ911" s="110"/>
      <c r="CA911" s="110"/>
      <c r="CB911" s="110"/>
      <c r="CC911" s="110"/>
    </row>
    <row r="912" spans="1:81" ht="12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  <c r="AU912" s="110"/>
      <c r="AV912" s="110"/>
      <c r="AW912" s="110"/>
      <c r="AX912" s="110"/>
      <c r="AY912" s="110"/>
      <c r="AZ912" s="110"/>
      <c r="BA912" s="110"/>
      <c r="BB912" s="110"/>
      <c r="BC912" s="110"/>
      <c r="BD912" s="110"/>
      <c r="BE912" s="110"/>
      <c r="BF912" s="110"/>
      <c r="BG912" s="110"/>
      <c r="BH912" s="110"/>
      <c r="BI912" s="110"/>
      <c r="BJ912" s="110"/>
      <c r="BK912" s="110"/>
      <c r="BL912" s="110"/>
      <c r="BM912" s="110"/>
      <c r="BN912" s="110"/>
      <c r="BO912" s="110"/>
      <c r="BP912" s="110"/>
      <c r="BQ912" s="110"/>
      <c r="BR912" s="110"/>
      <c r="BS912" s="110"/>
      <c r="BT912" s="110"/>
      <c r="BU912" s="110"/>
      <c r="BV912" s="110"/>
      <c r="BW912" s="110"/>
      <c r="BX912" s="110"/>
      <c r="BY912" s="110"/>
      <c r="BZ912" s="110"/>
      <c r="CA912" s="110"/>
      <c r="CB912" s="110"/>
      <c r="CC912" s="110"/>
    </row>
    <row r="913" spans="1:81" ht="12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  <c r="AS913" s="110"/>
      <c r="AT913" s="110"/>
      <c r="AU913" s="110"/>
      <c r="AV913" s="110"/>
      <c r="AW913" s="110"/>
      <c r="AX913" s="110"/>
      <c r="AY913" s="110"/>
      <c r="AZ913" s="110"/>
      <c r="BA913" s="110"/>
      <c r="BB913" s="110"/>
      <c r="BC913" s="110"/>
      <c r="BD913" s="110"/>
      <c r="BE913" s="110"/>
      <c r="BF913" s="110"/>
      <c r="BG913" s="110"/>
      <c r="BH913" s="110"/>
      <c r="BI913" s="110"/>
      <c r="BJ913" s="110"/>
      <c r="BK913" s="110"/>
      <c r="BL913" s="110"/>
      <c r="BM913" s="110"/>
      <c r="BN913" s="110"/>
      <c r="BO913" s="110"/>
      <c r="BP913" s="110"/>
      <c r="BQ913" s="110"/>
      <c r="BR913" s="110"/>
      <c r="BS913" s="110"/>
      <c r="BT913" s="110"/>
      <c r="BU913" s="110"/>
      <c r="BV913" s="110"/>
      <c r="BW913" s="110"/>
      <c r="BX913" s="110"/>
      <c r="BY913" s="110"/>
      <c r="BZ913" s="110"/>
      <c r="CA913" s="110"/>
      <c r="CB913" s="110"/>
      <c r="CC913" s="110"/>
    </row>
    <row r="914" spans="1:81" ht="12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  <c r="AS914" s="110"/>
      <c r="AT914" s="110"/>
      <c r="AU914" s="110"/>
      <c r="AV914" s="110"/>
      <c r="AW914" s="110"/>
      <c r="AX914" s="110"/>
      <c r="AY914" s="110"/>
      <c r="AZ914" s="110"/>
      <c r="BA914" s="110"/>
      <c r="BB914" s="110"/>
      <c r="BC914" s="110"/>
      <c r="BD914" s="110"/>
      <c r="BE914" s="110"/>
      <c r="BF914" s="110"/>
      <c r="BG914" s="110"/>
      <c r="BH914" s="110"/>
      <c r="BI914" s="110"/>
      <c r="BJ914" s="110"/>
      <c r="BK914" s="110"/>
      <c r="BL914" s="110"/>
      <c r="BM914" s="110"/>
      <c r="BN914" s="110"/>
      <c r="BO914" s="110"/>
      <c r="BP914" s="110"/>
      <c r="BQ914" s="110"/>
      <c r="BR914" s="110"/>
      <c r="BS914" s="110"/>
      <c r="BT914" s="110"/>
      <c r="BU914" s="110"/>
      <c r="BV914" s="110"/>
      <c r="BW914" s="110"/>
      <c r="BX914" s="110"/>
      <c r="BY914" s="110"/>
      <c r="BZ914" s="110"/>
      <c r="CA914" s="110"/>
      <c r="CB914" s="110"/>
      <c r="CC914" s="110"/>
    </row>
    <row r="915" spans="1:81" ht="12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  <c r="AV915" s="110"/>
      <c r="AW915" s="110"/>
      <c r="AX915" s="110"/>
      <c r="AY915" s="110"/>
      <c r="AZ915" s="110"/>
      <c r="BA915" s="110"/>
      <c r="BB915" s="110"/>
      <c r="BC915" s="110"/>
      <c r="BD915" s="110"/>
      <c r="BE915" s="110"/>
      <c r="BF915" s="110"/>
      <c r="BG915" s="110"/>
      <c r="BH915" s="110"/>
      <c r="BI915" s="110"/>
      <c r="BJ915" s="110"/>
      <c r="BK915" s="110"/>
      <c r="BL915" s="110"/>
      <c r="BM915" s="110"/>
      <c r="BN915" s="110"/>
      <c r="BO915" s="110"/>
      <c r="BP915" s="110"/>
      <c r="BQ915" s="110"/>
      <c r="BR915" s="110"/>
      <c r="BS915" s="110"/>
      <c r="BT915" s="110"/>
      <c r="BU915" s="110"/>
      <c r="BV915" s="110"/>
      <c r="BW915" s="110"/>
      <c r="BX915" s="110"/>
      <c r="BY915" s="110"/>
      <c r="BZ915" s="110"/>
      <c r="CA915" s="110"/>
      <c r="CB915" s="110"/>
      <c r="CC915" s="110"/>
    </row>
    <row r="916" spans="1:81" ht="12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  <c r="AU916" s="110"/>
      <c r="AV916" s="110"/>
      <c r="AW916" s="110"/>
      <c r="AX916" s="110"/>
      <c r="AY916" s="110"/>
      <c r="AZ916" s="110"/>
      <c r="BA916" s="110"/>
      <c r="BB916" s="110"/>
      <c r="BC916" s="110"/>
      <c r="BD916" s="110"/>
      <c r="BE916" s="110"/>
      <c r="BF916" s="110"/>
      <c r="BG916" s="110"/>
      <c r="BH916" s="110"/>
      <c r="BI916" s="110"/>
      <c r="BJ916" s="110"/>
      <c r="BK916" s="110"/>
      <c r="BL916" s="110"/>
      <c r="BM916" s="110"/>
      <c r="BN916" s="110"/>
      <c r="BO916" s="110"/>
      <c r="BP916" s="110"/>
      <c r="BQ916" s="110"/>
      <c r="BR916" s="110"/>
      <c r="BS916" s="110"/>
      <c r="BT916" s="110"/>
      <c r="BU916" s="110"/>
      <c r="BV916" s="110"/>
      <c r="BW916" s="110"/>
      <c r="BX916" s="110"/>
      <c r="BY916" s="110"/>
      <c r="BZ916" s="110"/>
      <c r="CA916" s="110"/>
      <c r="CB916" s="110"/>
      <c r="CC916" s="110"/>
    </row>
    <row r="917" spans="1:81" ht="12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  <c r="AS917" s="110"/>
      <c r="AT917" s="110"/>
      <c r="AU917" s="110"/>
      <c r="AV917" s="110"/>
      <c r="AW917" s="110"/>
      <c r="AX917" s="110"/>
      <c r="AY917" s="110"/>
      <c r="AZ917" s="110"/>
      <c r="BA917" s="110"/>
      <c r="BB917" s="110"/>
      <c r="BC917" s="110"/>
      <c r="BD917" s="110"/>
      <c r="BE917" s="110"/>
      <c r="BF917" s="110"/>
      <c r="BG917" s="110"/>
      <c r="BH917" s="110"/>
      <c r="BI917" s="110"/>
      <c r="BJ917" s="110"/>
      <c r="BK917" s="110"/>
      <c r="BL917" s="110"/>
      <c r="BM917" s="110"/>
      <c r="BN917" s="110"/>
      <c r="BO917" s="110"/>
      <c r="BP917" s="110"/>
      <c r="BQ917" s="110"/>
      <c r="BR917" s="110"/>
      <c r="BS917" s="110"/>
      <c r="BT917" s="110"/>
      <c r="BU917" s="110"/>
      <c r="BV917" s="110"/>
      <c r="BW917" s="110"/>
      <c r="BX917" s="110"/>
      <c r="BY917" s="110"/>
      <c r="BZ917" s="110"/>
      <c r="CA917" s="110"/>
      <c r="CB917" s="110"/>
      <c r="CC917" s="110"/>
    </row>
    <row r="918" spans="1:81" ht="12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  <c r="AS918" s="110"/>
      <c r="AT918" s="110"/>
      <c r="AU918" s="110"/>
      <c r="AV918" s="110"/>
      <c r="AW918" s="110"/>
      <c r="AX918" s="110"/>
      <c r="AY918" s="110"/>
      <c r="AZ918" s="110"/>
      <c r="BA918" s="110"/>
      <c r="BB918" s="110"/>
      <c r="BC918" s="110"/>
      <c r="BD918" s="110"/>
      <c r="BE918" s="110"/>
      <c r="BF918" s="110"/>
      <c r="BG918" s="110"/>
      <c r="BH918" s="110"/>
      <c r="BI918" s="110"/>
      <c r="BJ918" s="110"/>
      <c r="BK918" s="110"/>
      <c r="BL918" s="110"/>
      <c r="BM918" s="110"/>
      <c r="BN918" s="110"/>
      <c r="BO918" s="110"/>
      <c r="BP918" s="110"/>
      <c r="BQ918" s="110"/>
      <c r="BR918" s="110"/>
      <c r="BS918" s="110"/>
      <c r="BT918" s="110"/>
      <c r="BU918" s="110"/>
      <c r="BV918" s="110"/>
      <c r="BW918" s="110"/>
      <c r="BX918" s="110"/>
      <c r="BY918" s="110"/>
      <c r="BZ918" s="110"/>
      <c r="CA918" s="110"/>
      <c r="CB918" s="110"/>
      <c r="CC918" s="110"/>
    </row>
    <row r="919" spans="1:81" ht="12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  <c r="AU919" s="110"/>
      <c r="AV919" s="110"/>
      <c r="AW919" s="110"/>
      <c r="AX919" s="110"/>
      <c r="AY919" s="110"/>
      <c r="AZ919" s="110"/>
      <c r="BA919" s="110"/>
      <c r="BB919" s="110"/>
      <c r="BC919" s="110"/>
      <c r="BD919" s="110"/>
      <c r="BE919" s="110"/>
      <c r="BF919" s="110"/>
      <c r="BG919" s="110"/>
      <c r="BH919" s="110"/>
      <c r="BI919" s="110"/>
      <c r="BJ919" s="110"/>
      <c r="BK919" s="110"/>
      <c r="BL919" s="110"/>
      <c r="BM919" s="110"/>
      <c r="BN919" s="110"/>
      <c r="BO919" s="110"/>
      <c r="BP919" s="110"/>
      <c r="BQ919" s="110"/>
      <c r="BR919" s="110"/>
      <c r="BS919" s="110"/>
      <c r="BT919" s="110"/>
      <c r="BU919" s="110"/>
      <c r="BV919" s="110"/>
      <c r="BW919" s="110"/>
      <c r="BX919" s="110"/>
      <c r="BY919" s="110"/>
      <c r="BZ919" s="110"/>
      <c r="CA919" s="110"/>
      <c r="CB919" s="110"/>
      <c r="CC919" s="110"/>
    </row>
    <row r="920" spans="1:81" ht="12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  <c r="AU920" s="110"/>
      <c r="AV920" s="110"/>
      <c r="AW920" s="110"/>
      <c r="AX920" s="110"/>
      <c r="AY920" s="110"/>
      <c r="AZ920" s="110"/>
      <c r="BA920" s="110"/>
      <c r="BB920" s="110"/>
      <c r="BC920" s="110"/>
      <c r="BD920" s="110"/>
      <c r="BE920" s="110"/>
      <c r="BF920" s="110"/>
      <c r="BG920" s="110"/>
      <c r="BH920" s="110"/>
      <c r="BI920" s="110"/>
      <c r="BJ920" s="110"/>
      <c r="BK920" s="110"/>
      <c r="BL920" s="110"/>
      <c r="BM920" s="110"/>
      <c r="BN920" s="110"/>
      <c r="BO920" s="110"/>
      <c r="BP920" s="110"/>
      <c r="BQ920" s="110"/>
      <c r="BR920" s="110"/>
      <c r="BS920" s="110"/>
      <c r="BT920" s="110"/>
      <c r="BU920" s="110"/>
      <c r="BV920" s="110"/>
      <c r="BW920" s="110"/>
      <c r="BX920" s="110"/>
      <c r="BY920" s="110"/>
      <c r="BZ920" s="110"/>
      <c r="CA920" s="110"/>
      <c r="CB920" s="110"/>
      <c r="CC920" s="110"/>
    </row>
    <row r="921" spans="1:81" ht="12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  <c r="AS921" s="110"/>
      <c r="AT921" s="110"/>
      <c r="AU921" s="110"/>
      <c r="AV921" s="110"/>
      <c r="AW921" s="110"/>
      <c r="AX921" s="110"/>
      <c r="AY921" s="110"/>
      <c r="AZ921" s="110"/>
      <c r="BA921" s="110"/>
      <c r="BB921" s="110"/>
      <c r="BC921" s="110"/>
      <c r="BD921" s="110"/>
      <c r="BE921" s="110"/>
      <c r="BF921" s="110"/>
      <c r="BG921" s="110"/>
      <c r="BH921" s="110"/>
      <c r="BI921" s="110"/>
      <c r="BJ921" s="110"/>
      <c r="BK921" s="110"/>
      <c r="BL921" s="110"/>
      <c r="BM921" s="110"/>
      <c r="BN921" s="110"/>
      <c r="BO921" s="110"/>
      <c r="BP921" s="110"/>
      <c r="BQ921" s="110"/>
      <c r="BR921" s="110"/>
      <c r="BS921" s="110"/>
      <c r="BT921" s="110"/>
      <c r="BU921" s="110"/>
      <c r="BV921" s="110"/>
      <c r="BW921" s="110"/>
      <c r="BX921" s="110"/>
      <c r="BY921" s="110"/>
      <c r="BZ921" s="110"/>
      <c r="CA921" s="110"/>
      <c r="CB921" s="110"/>
      <c r="CC921" s="110"/>
    </row>
    <row r="922" spans="1:81" ht="12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  <c r="AS922" s="110"/>
      <c r="AT922" s="110"/>
      <c r="AU922" s="110"/>
      <c r="AV922" s="110"/>
      <c r="AW922" s="110"/>
      <c r="AX922" s="110"/>
      <c r="AY922" s="110"/>
      <c r="AZ922" s="110"/>
      <c r="BA922" s="110"/>
      <c r="BB922" s="110"/>
      <c r="BC922" s="110"/>
      <c r="BD922" s="110"/>
      <c r="BE922" s="110"/>
      <c r="BF922" s="110"/>
      <c r="BG922" s="110"/>
      <c r="BH922" s="110"/>
      <c r="BI922" s="110"/>
      <c r="BJ922" s="110"/>
      <c r="BK922" s="110"/>
      <c r="BL922" s="110"/>
      <c r="BM922" s="110"/>
      <c r="BN922" s="110"/>
      <c r="BO922" s="110"/>
      <c r="BP922" s="110"/>
      <c r="BQ922" s="110"/>
      <c r="BR922" s="110"/>
      <c r="BS922" s="110"/>
      <c r="BT922" s="110"/>
      <c r="BU922" s="110"/>
      <c r="BV922" s="110"/>
      <c r="BW922" s="110"/>
      <c r="BX922" s="110"/>
      <c r="BY922" s="110"/>
      <c r="BZ922" s="110"/>
      <c r="CA922" s="110"/>
      <c r="CB922" s="110"/>
      <c r="CC922" s="110"/>
    </row>
    <row r="923" spans="1:81" ht="12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  <c r="AU923" s="110"/>
      <c r="AV923" s="110"/>
      <c r="AW923" s="110"/>
      <c r="AX923" s="110"/>
      <c r="AY923" s="110"/>
      <c r="AZ923" s="110"/>
      <c r="BA923" s="110"/>
      <c r="BB923" s="110"/>
      <c r="BC923" s="110"/>
      <c r="BD923" s="110"/>
      <c r="BE923" s="110"/>
      <c r="BF923" s="110"/>
      <c r="BG923" s="110"/>
      <c r="BH923" s="110"/>
      <c r="BI923" s="110"/>
      <c r="BJ923" s="110"/>
      <c r="BK923" s="110"/>
      <c r="BL923" s="110"/>
      <c r="BM923" s="110"/>
      <c r="BN923" s="110"/>
      <c r="BO923" s="110"/>
      <c r="BP923" s="110"/>
      <c r="BQ923" s="110"/>
      <c r="BR923" s="110"/>
      <c r="BS923" s="110"/>
      <c r="BT923" s="110"/>
      <c r="BU923" s="110"/>
      <c r="BV923" s="110"/>
      <c r="BW923" s="110"/>
      <c r="BX923" s="110"/>
      <c r="BY923" s="110"/>
      <c r="BZ923" s="110"/>
      <c r="CA923" s="110"/>
      <c r="CB923" s="110"/>
      <c r="CC923" s="110"/>
    </row>
    <row r="924" spans="1:81" ht="12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  <c r="AU924" s="110"/>
      <c r="AV924" s="110"/>
      <c r="AW924" s="110"/>
      <c r="AX924" s="110"/>
      <c r="AY924" s="110"/>
      <c r="AZ924" s="110"/>
      <c r="BA924" s="110"/>
      <c r="BB924" s="110"/>
      <c r="BC924" s="110"/>
      <c r="BD924" s="110"/>
      <c r="BE924" s="110"/>
      <c r="BF924" s="110"/>
      <c r="BG924" s="110"/>
      <c r="BH924" s="110"/>
      <c r="BI924" s="110"/>
      <c r="BJ924" s="110"/>
      <c r="BK924" s="110"/>
      <c r="BL924" s="110"/>
      <c r="BM924" s="110"/>
      <c r="BN924" s="110"/>
      <c r="BO924" s="110"/>
      <c r="BP924" s="110"/>
      <c r="BQ924" s="110"/>
      <c r="BR924" s="110"/>
      <c r="BS924" s="110"/>
      <c r="BT924" s="110"/>
      <c r="BU924" s="110"/>
      <c r="BV924" s="110"/>
      <c r="BW924" s="110"/>
      <c r="BX924" s="110"/>
      <c r="BY924" s="110"/>
      <c r="BZ924" s="110"/>
      <c r="CA924" s="110"/>
      <c r="CB924" s="110"/>
      <c r="CC924" s="110"/>
    </row>
    <row r="925" spans="1:81" ht="12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  <c r="AS925" s="110"/>
      <c r="AT925" s="110"/>
      <c r="AU925" s="110"/>
      <c r="AV925" s="110"/>
      <c r="AW925" s="110"/>
      <c r="AX925" s="110"/>
      <c r="AY925" s="110"/>
      <c r="AZ925" s="110"/>
      <c r="BA925" s="110"/>
      <c r="BB925" s="110"/>
      <c r="BC925" s="110"/>
      <c r="BD925" s="110"/>
      <c r="BE925" s="110"/>
      <c r="BF925" s="110"/>
      <c r="BG925" s="110"/>
      <c r="BH925" s="110"/>
      <c r="BI925" s="110"/>
      <c r="BJ925" s="110"/>
      <c r="BK925" s="110"/>
      <c r="BL925" s="110"/>
      <c r="BM925" s="110"/>
      <c r="BN925" s="110"/>
      <c r="BO925" s="110"/>
      <c r="BP925" s="110"/>
      <c r="BQ925" s="110"/>
      <c r="BR925" s="110"/>
      <c r="BS925" s="110"/>
      <c r="BT925" s="110"/>
      <c r="BU925" s="110"/>
      <c r="BV925" s="110"/>
      <c r="BW925" s="110"/>
      <c r="BX925" s="110"/>
      <c r="BY925" s="110"/>
      <c r="BZ925" s="110"/>
      <c r="CA925" s="110"/>
      <c r="CB925" s="110"/>
      <c r="CC925" s="110"/>
    </row>
    <row r="926" spans="1:81" ht="12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  <c r="AS926" s="110"/>
      <c r="AT926" s="110"/>
      <c r="AU926" s="110"/>
      <c r="AV926" s="110"/>
      <c r="AW926" s="110"/>
      <c r="AX926" s="110"/>
      <c r="AY926" s="110"/>
      <c r="AZ926" s="110"/>
      <c r="BA926" s="110"/>
      <c r="BB926" s="110"/>
      <c r="BC926" s="110"/>
      <c r="BD926" s="110"/>
      <c r="BE926" s="110"/>
      <c r="BF926" s="110"/>
      <c r="BG926" s="110"/>
      <c r="BH926" s="110"/>
      <c r="BI926" s="110"/>
      <c r="BJ926" s="110"/>
      <c r="BK926" s="110"/>
      <c r="BL926" s="110"/>
      <c r="BM926" s="110"/>
      <c r="BN926" s="110"/>
      <c r="BO926" s="110"/>
      <c r="BP926" s="110"/>
      <c r="BQ926" s="110"/>
      <c r="BR926" s="110"/>
      <c r="BS926" s="110"/>
      <c r="BT926" s="110"/>
      <c r="BU926" s="110"/>
      <c r="BV926" s="110"/>
      <c r="BW926" s="110"/>
      <c r="BX926" s="110"/>
      <c r="BY926" s="110"/>
      <c r="BZ926" s="110"/>
      <c r="CA926" s="110"/>
      <c r="CB926" s="110"/>
      <c r="CC926" s="110"/>
    </row>
    <row r="927" spans="1:81" ht="12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  <c r="AU927" s="110"/>
      <c r="AV927" s="110"/>
      <c r="AW927" s="110"/>
      <c r="AX927" s="110"/>
      <c r="AY927" s="110"/>
      <c r="AZ927" s="110"/>
      <c r="BA927" s="110"/>
      <c r="BB927" s="110"/>
      <c r="BC927" s="110"/>
      <c r="BD927" s="110"/>
      <c r="BE927" s="110"/>
      <c r="BF927" s="110"/>
      <c r="BG927" s="110"/>
      <c r="BH927" s="110"/>
      <c r="BI927" s="110"/>
      <c r="BJ927" s="110"/>
      <c r="BK927" s="110"/>
      <c r="BL927" s="110"/>
      <c r="BM927" s="110"/>
      <c r="BN927" s="110"/>
      <c r="BO927" s="110"/>
      <c r="BP927" s="110"/>
      <c r="BQ927" s="110"/>
      <c r="BR927" s="110"/>
      <c r="BS927" s="110"/>
      <c r="BT927" s="110"/>
      <c r="BU927" s="110"/>
      <c r="BV927" s="110"/>
      <c r="BW927" s="110"/>
      <c r="BX927" s="110"/>
      <c r="BY927" s="110"/>
      <c r="BZ927" s="110"/>
      <c r="CA927" s="110"/>
      <c r="CB927" s="110"/>
      <c r="CC927" s="110"/>
    </row>
    <row r="928" spans="1:81" ht="12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  <c r="AU928" s="110"/>
      <c r="AV928" s="110"/>
      <c r="AW928" s="110"/>
      <c r="AX928" s="110"/>
      <c r="AY928" s="110"/>
      <c r="AZ928" s="110"/>
      <c r="BA928" s="110"/>
      <c r="BB928" s="110"/>
      <c r="BC928" s="110"/>
      <c r="BD928" s="110"/>
      <c r="BE928" s="110"/>
      <c r="BF928" s="110"/>
      <c r="BG928" s="110"/>
      <c r="BH928" s="110"/>
      <c r="BI928" s="110"/>
      <c r="BJ928" s="110"/>
      <c r="BK928" s="110"/>
      <c r="BL928" s="110"/>
      <c r="BM928" s="110"/>
      <c r="BN928" s="110"/>
      <c r="BO928" s="110"/>
      <c r="BP928" s="110"/>
      <c r="BQ928" s="110"/>
      <c r="BR928" s="110"/>
      <c r="BS928" s="110"/>
      <c r="BT928" s="110"/>
      <c r="BU928" s="110"/>
      <c r="BV928" s="110"/>
      <c r="BW928" s="110"/>
      <c r="BX928" s="110"/>
      <c r="BY928" s="110"/>
      <c r="BZ928" s="110"/>
      <c r="CA928" s="110"/>
      <c r="CB928" s="110"/>
      <c r="CC928" s="110"/>
    </row>
    <row r="929" spans="1:81" ht="12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  <c r="AU929" s="110"/>
      <c r="AV929" s="110"/>
      <c r="AW929" s="110"/>
      <c r="AX929" s="110"/>
      <c r="AY929" s="110"/>
      <c r="AZ929" s="110"/>
      <c r="BA929" s="110"/>
      <c r="BB929" s="110"/>
      <c r="BC929" s="110"/>
      <c r="BD929" s="110"/>
      <c r="BE929" s="110"/>
      <c r="BF929" s="110"/>
      <c r="BG929" s="110"/>
      <c r="BH929" s="110"/>
      <c r="BI929" s="110"/>
      <c r="BJ929" s="110"/>
      <c r="BK929" s="110"/>
      <c r="BL929" s="110"/>
      <c r="BM929" s="110"/>
      <c r="BN929" s="110"/>
      <c r="BO929" s="110"/>
      <c r="BP929" s="110"/>
      <c r="BQ929" s="110"/>
      <c r="BR929" s="110"/>
      <c r="BS929" s="110"/>
      <c r="BT929" s="110"/>
      <c r="BU929" s="110"/>
      <c r="BV929" s="110"/>
      <c r="BW929" s="110"/>
      <c r="BX929" s="110"/>
      <c r="BY929" s="110"/>
      <c r="BZ929" s="110"/>
      <c r="CA929" s="110"/>
      <c r="CB929" s="110"/>
      <c r="CC929" s="110"/>
    </row>
    <row r="930" spans="1:81" ht="12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  <c r="AS930" s="110"/>
      <c r="AT930" s="110"/>
      <c r="AU930" s="110"/>
      <c r="AV930" s="110"/>
      <c r="AW930" s="110"/>
      <c r="AX930" s="110"/>
      <c r="AY930" s="110"/>
      <c r="AZ930" s="110"/>
      <c r="BA930" s="110"/>
      <c r="BB930" s="110"/>
      <c r="BC930" s="110"/>
      <c r="BD930" s="110"/>
      <c r="BE930" s="110"/>
      <c r="BF930" s="110"/>
      <c r="BG930" s="110"/>
      <c r="BH930" s="110"/>
      <c r="BI930" s="110"/>
      <c r="BJ930" s="110"/>
      <c r="BK930" s="110"/>
      <c r="BL930" s="110"/>
      <c r="BM930" s="110"/>
      <c r="BN930" s="110"/>
      <c r="BO930" s="110"/>
      <c r="BP930" s="110"/>
      <c r="BQ930" s="110"/>
      <c r="BR930" s="110"/>
      <c r="BS930" s="110"/>
      <c r="BT930" s="110"/>
      <c r="BU930" s="110"/>
      <c r="BV930" s="110"/>
      <c r="BW930" s="110"/>
      <c r="BX930" s="110"/>
      <c r="BY930" s="110"/>
      <c r="BZ930" s="110"/>
      <c r="CA930" s="110"/>
      <c r="CB930" s="110"/>
      <c r="CC930" s="110"/>
    </row>
    <row r="931" spans="1:81" ht="12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  <c r="AS931" s="110"/>
      <c r="AT931" s="110"/>
      <c r="AU931" s="110"/>
      <c r="AV931" s="110"/>
      <c r="AW931" s="110"/>
      <c r="AX931" s="110"/>
      <c r="AY931" s="110"/>
      <c r="AZ931" s="110"/>
      <c r="BA931" s="110"/>
      <c r="BB931" s="110"/>
      <c r="BC931" s="110"/>
      <c r="BD931" s="110"/>
      <c r="BE931" s="110"/>
      <c r="BF931" s="110"/>
      <c r="BG931" s="110"/>
      <c r="BH931" s="110"/>
      <c r="BI931" s="110"/>
      <c r="BJ931" s="110"/>
      <c r="BK931" s="110"/>
      <c r="BL931" s="110"/>
      <c r="BM931" s="110"/>
      <c r="BN931" s="110"/>
      <c r="BO931" s="110"/>
      <c r="BP931" s="110"/>
      <c r="BQ931" s="110"/>
      <c r="BR931" s="110"/>
      <c r="BS931" s="110"/>
      <c r="BT931" s="110"/>
      <c r="BU931" s="110"/>
      <c r="BV931" s="110"/>
      <c r="BW931" s="110"/>
      <c r="BX931" s="110"/>
      <c r="BY931" s="110"/>
      <c r="BZ931" s="110"/>
      <c r="CA931" s="110"/>
      <c r="CB931" s="110"/>
      <c r="CC931" s="110"/>
    </row>
    <row r="932" spans="1:81" ht="12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  <c r="AS932" s="110"/>
      <c r="AT932" s="110"/>
      <c r="AU932" s="110"/>
      <c r="AV932" s="110"/>
      <c r="AW932" s="110"/>
      <c r="AX932" s="110"/>
      <c r="AY932" s="110"/>
      <c r="AZ932" s="110"/>
      <c r="BA932" s="110"/>
      <c r="BB932" s="110"/>
      <c r="BC932" s="110"/>
      <c r="BD932" s="110"/>
      <c r="BE932" s="110"/>
      <c r="BF932" s="110"/>
      <c r="BG932" s="110"/>
      <c r="BH932" s="110"/>
      <c r="BI932" s="110"/>
      <c r="BJ932" s="110"/>
      <c r="BK932" s="110"/>
      <c r="BL932" s="110"/>
      <c r="BM932" s="110"/>
      <c r="BN932" s="110"/>
      <c r="BO932" s="110"/>
      <c r="BP932" s="110"/>
      <c r="BQ932" s="110"/>
      <c r="BR932" s="110"/>
      <c r="BS932" s="110"/>
      <c r="BT932" s="110"/>
      <c r="BU932" s="110"/>
      <c r="BV932" s="110"/>
      <c r="BW932" s="110"/>
      <c r="BX932" s="110"/>
      <c r="BY932" s="110"/>
      <c r="BZ932" s="110"/>
      <c r="CA932" s="110"/>
      <c r="CB932" s="110"/>
      <c r="CC932" s="110"/>
    </row>
    <row r="933" spans="1:81" ht="12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  <c r="AS933" s="110"/>
      <c r="AT933" s="110"/>
      <c r="AU933" s="110"/>
      <c r="AV933" s="110"/>
      <c r="AW933" s="110"/>
      <c r="AX933" s="110"/>
      <c r="AY933" s="110"/>
      <c r="AZ933" s="110"/>
      <c r="BA933" s="110"/>
      <c r="BB933" s="110"/>
      <c r="BC933" s="110"/>
      <c r="BD933" s="110"/>
      <c r="BE933" s="110"/>
      <c r="BF933" s="110"/>
      <c r="BG933" s="110"/>
      <c r="BH933" s="110"/>
      <c r="BI933" s="110"/>
      <c r="BJ933" s="110"/>
      <c r="BK933" s="110"/>
      <c r="BL933" s="110"/>
      <c r="BM933" s="110"/>
      <c r="BN933" s="110"/>
      <c r="BO933" s="110"/>
      <c r="BP933" s="110"/>
      <c r="BQ933" s="110"/>
      <c r="BR933" s="110"/>
      <c r="BS933" s="110"/>
      <c r="BT933" s="110"/>
      <c r="BU933" s="110"/>
      <c r="BV933" s="110"/>
      <c r="BW933" s="110"/>
      <c r="BX933" s="110"/>
      <c r="BY933" s="110"/>
      <c r="BZ933" s="110"/>
      <c r="CA933" s="110"/>
      <c r="CB933" s="110"/>
      <c r="CC933" s="110"/>
    </row>
    <row r="934" spans="1:81" ht="12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  <c r="AS934" s="110"/>
      <c r="AT934" s="110"/>
      <c r="AU934" s="110"/>
      <c r="AV934" s="110"/>
      <c r="AW934" s="110"/>
      <c r="AX934" s="110"/>
      <c r="AY934" s="110"/>
      <c r="AZ934" s="110"/>
      <c r="BA934" s="110"/>
      <c r="BB934" s="110"/>
      <c r="BC934" s="110"/>
      <c r="BD934" s="110"/>
      <c r="BE934" s="110"/>
      <c r="BF934" s="110"/>
      <c r="BG934" s="110"/>
      <c r="BH934" s="110"/>
      <c r="BI934" s="110"/>
      <c r="BJ934" s="110"/>
      <c r="BK934" s="110"/>
      <c r="BL934" s="110"/>
      <c r="BM934" s="110"/>
      <c r="BN934" s="110"/>
      <c r="BO934" s="110"/>
      <c r="BP934" s="110"/>
      <c r="BQ934" s="110"/>
      <c r="BR934" s="110"/>
      <c r="BS934" s="110"/>
      <c r="BT934" s="110"/>
      <c r="BU934" s="110"/>
      <c r="BV934" s="110"/>
      <c r="BW934" s="110"/>
      <c r="BX934" s="110"/>
      <c r="BY934" s="110"/>
      <c r="BZ934" s="110"/>
      <c r="CA934" s="110"/>
      <c r="CB934" s="110"/>
      <c r="CC934" s="110"/>
    </row>
    <row r="935" spans="1:81" ht="12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  <c r="AS935" s="110"/>
      <c r="AT935" s="110"/>
      <c r="AU935" s="110"/>
      <c r="AV935" s="110"/>
      <c r="AW935" s="110"/>
      <c r="AX935" s="110"/>
      <c r="AY935" s="110"/>
      <c r="AZ935" s="110"/>
      <c r="BA935" s="110"/>
      <c r="BB935" s="110"/>
      <c r="BC935" s="110"/>
      <c r="BD935" s="110"/>
      <c r="BE935" s="110"/>
      <c r="BF935" s="110"/>
      <c r="BG935" s="110"/>
      <c r="BH935" s="110"/>
      <c r="BI935" s="110"/>
      <c r="BJ935" s="110"/>
      <c r="BK935" s="110"/>
      <c r="BL935" s="110"/>
      <c r="BM935" s="110"/>
      <c r="BN935" s="110"/>
      <c r="BO935" s="110"/>
      <c r="BP935" s="110"/>
      <c r="BQ935" s="110"/>
      <c r="BR935" s="110"/>
      <c r="BS935" s="110"/>
      <c r="BT935" s="110"/>
      <c r="BU935" s="110"/>
      <c r="BV935" s="110"/>
      <c r="BW935" s="110"/>
      <c r="BX935" s="110"/>
      <c r="BY935" s="110"/>
      <c r="BZ935" s="110"/>
      <c r="CA935" s="110"/>
      <c r="CB935" s="110"/>
      <c r="CC935" s="110"/>
    </row>
    <row r="936" spans="1:81" ht="12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  <c r="AS936" s="110"/>
      <c r="AT936" s="110"/>
      <c r="AU936" s="110"/>
      <c r="AV936" s="110"/>
      <c r="AW936" s="110"/>
      <c r="AX936" s="110"/>
      <c r="AY936" s="110"/>
      <c r="AZ936" s="110"/>
      <c r="BA936" s="110"/>
      <c r="BB936" s="110"/>
      <c r="BC936" s="110"/>
      <c r="BD936" s="110"/>
      <c r="BE936" s="110"/>
      <c r="BF936" s="110"/>
      <c r="BG936" s="110"/>
      <c r="BH936" s="110"/>
      <c r="BI936" s="110"/>
      <c r="BJ936" s="110"/>
      <c r="BK936" s="110"/>
      <c r="BL936" s="110"/>
      <c r="BM936" s="110"/>
      <c r="BN936" s="110"/>
      <c r="BO936" s="110"/>
      <c r="BP936" s="110"/>
      <c r="BQ936" s="110"/>
      <c r="BR936" s="110"/>
      <c r="BS936" s="110"/>
      <c r="BT936" s="110"/>
      <c r="BU936" s="110"/>
      <c r="BV936" s="110"/>
      <c r="BW936" s="110"/>
      <c r="BX936" s="110"/>
      <c r="BY936" s="110"/>
      <c r="BZ936" s="110"/>
      <c r="CA936" s="110"/>
      <c r="CB936" s="110"/>
      <c r="CC936" s="110"/>
    </row>
    <row r="937" spans="1:81" ht="12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  <c r="AS937" s="110"/>
      <c r="AT937" s="110"/>
      <c r="AU937" s="110"/>
      <c r="AV937" s="110"/>
      <c r="AW937" s="110"/>
      <c r="AX937" s="110"/>
      <c r="AY937" s="110"/>
      <c r="AZ937" s="110"/>
      <c r="BA937" s="110"/>
      <c r="BB937" s="110"/>
      <c r="BC937" s="110"/>
      <c r="BD937" s="110"/>
      <c r="BE937" s="110"/>
      <c r="BF937" s="110"/>
      <c r="BG937" s="110"/>
      <c r="BH937" s="110"/>
      <c r="BI937" s="110"/>
      <c r="BJ937" s="110"/>
      <c r="BK937" s="110"/>
      <c r="BL937" s="110"/>
      <c r="BM937" s="110"/>
      <c r="BN937" s="110"/>
      <c r="BO937" s="110"/>
      <c r="BP937" s="110"/>
      <c r="BQ937" s="110"/>
      <c r="BR937" s="110"/>
      <c r="BS937" s="110"/>
      <c r="BT937" s="110"/>
      <c r="BU937" s="110"/>
      <c r="BV937" s="110"/>
      <c r="BW937" s="110"/>
      <c r="BX937" s="110"/>
      <c r="BY937" s="110"/>
      <c r="BZ937" s="110"/>
      <c r="CA937" s="110"/>
      <c r="CB937" s="110"/>
      <c r="CC937" s="110"/>
    </row>
    <row r="938" spans="1:81" ht="12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  <c r="AS938" s="110"/>
      <c r="AT938" s="110"/>
      <c r="AU938" s="110"/>
      <c r="AV938" s="110"/>
      <c r="AW938" s="110"/>
      <c r="AX938" s="110"/>
      <c r="AY938" s="110"/>
      <c r="AZ938" s="110"/>
      <c r="BA938" s="110"/>
      <c r="BB938" s="110"/>
      <c r="BC938" s="110"/>
      <c r="BD938" s="110"/>
      <c r="BE938" s="110"/>
      <c r="BF938" s="110"/>
      <c r="BG938" s="110"/>
      <c r="BH938" s="110"/>
      <c r="BI938" s="110"/>
      <c r="BJ938" s="110"/>
      <c r="BK938" s="110"/>
      <c r="BL938" s="110"/>
      <c r="BM938" s="110"/>
      <c r="BN938" s="110"/>
      <c r="BO938" s="110"/>
      <c r="BP938" s="110"/>
      <c r="BQ938" s="110"/>
      <c r="BR938" s="110"/>
      <c r="BS938" s="110"/>
      <c r="BT938" s="110"/>
      <c r="BU938" s="110"/>
      <c r="BV938" s="110"/>
      <c r="BW938" s="110"/>
      <c r="BX938" s="110"/>
      <c r="BY938" s="110"/>
      <c r="BZ938" s="110"/>
      <c r="CA938" s="110"/>
      <c r="CB938" s="110"/>
      <c r="CC938" s="110"/>
    </row>
    <row r="939" spans="1:81" ht="12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  <c r="AS939" s="110"/>
      <c r="AT939" s="110"/>
      <c r="AU939" s="110"/>
      <c r="AV939" s="110"/>
      <c r="AW939" s="110"/>
      <c r="AX939" s="110"/>
      <c r="AY939" s="110"/>
      <c r="AZ939" s="110"/>
      <c r="BA939" s="110"/>
      <c r="BB939" s="110"/>
      <c r="BC939" s="110"/>
      <c r="BD939" s="110"/>
      <c r="BE939" s="110"/>
      <c r="BF939" s="110"/>
      <c r="BG939" s="110"/>
      <c r="BH939" s="110"/>
      <c r="BI939" s="110"/>
      <c r="BJ939" s="110"/>
      <c r="BK939" s="110"/>
      <c r="BL939" s="110"/>
      <c r="BM939" s="110"/>
      <c r="BN939" s="110"/>
      <c r="BO939" s="110"/>
      <c r="BP939" s="110"/>
      <c r="BQ939" s="110"/>
      <c r="BR939" s="110"/>
      <c r="BS939" s="110"/>
      <c r="BT939" s="110"/>
      <c r="BU939" s="110"/>
      <c r="BV939" s="110"/>
      <c r="BW939" s="110"/>
      <c r="BX939" s="110"/>
      <c r="BY939" s="110"/>
      <c r="BZ939" s="110"/>
      <c r="CA939" s="110"/>
      <c r="CB939" s="110"/>
      <c r="CC939" s="110"/>
    </row>
    <row r="940" spans="1:81" ht="12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  <c r="AS940" s="110"/>
      <c r="AT940" s="110"/>
      <c r="AU940" s="110"/>
      <c r="AV940" s="110"/>
      <c r="AW940" s="110"/>
      <c r="AX940" s="110"/>
      <c r="AY940" s="110"/>
      <c r="AZ940" s="110"/>
      <c r="BA940" s="110"/>
      <c r="BB940" s="110"/>
      <c r="BC940" s="110"/>
      <c r="BD940" s="110"/>
      <c r="BE940" s="110"/>
      <c r="BF940" s="110"/>
      <c r="BG940" s="110"/>
      <c r="BH940" s="110"/>
      <c r="BI940" s="110"/>
      <c r="BJ940" s="110"/>
      <c r="BK940" s="110"/>
      <c r="BL940" s="110"/>
      <c r="BM940" s="110"/>
      <c r="BN940" s="110"/>
      <c r="BO940" s="110"/>
      <c r="BP940" s="110"/>
      <c r="BQ940" s="110"/>
      <c r="BR940" s="110"/>
      <c r="BS940" s="110"/>
      <c r="BT940" s="110"/>
      <c r="BU940" s="110"/>
      <c r="BV940" s="110"/>
      <c r="BW940" s="110"/>
      <c r="BX940" s="110"/>
      <c r="BY940" s="110"/>
      <c r="BZ940" s="110"/>
      <c r="CA940" s="110"/>
      <c r="CB940" s="110"/>
      <c r="CC940" s="110"/>
    </row>
    <row r="941" spans="1:81" ht="12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  <c r="AS941" s="110"/>
      <c r="AT941" s="110"/>
      <c r="AU941" s="110"/>
      <c r="AV941" s="110"/>
      <c r="AW941" s="110"/>
      <c r="AX941" s="110"/>
      <c r="AY941" s="110"/>
      <c r="AZ941" s="110"/>
      <c r="BA941" s="110"/>
      <c r="BB941" s="110"/>
      <c r="BC941" s="110"/>
      <c r="BD941" s="110"/>
      <c r="BE941" s="110"/>
      <c r="BF941" s="110"/>
      <c r="BG941" s="110"/>
      <c r="BH941" s="110"/>
      <c r="BI941" s="110"/>
      <c r="BJ941" s="110"/>
      <c r="BK941" s="110"/>
      <c r="BL941" s="110"/>
      <c r="BM941" s="110"/>
      <c r="BN941" s="110"/>
      <c r="BO941" s="110"/>
      <c r="BP941" s="110"/>
      <c r="BQ941" s="110"/>
      <c r="BR941" s="110"/>
      <c r="BS941" s="110"/>
      <c r="BT941" s="110"/>
      <c r="BU941" s="110"/>
      <c r="BV941" s="110"/>
      <c r="BW941" s="110"/>
      <c r="BX941" s="110"/>
      <c r="BY941" s="110"/>
      <c r="BZ941" s="110"/>
      <c r="CA941" s="110"/>
      <c r="CB941" s="110"/>
      <c r="CC941" s="110"/>
    </row>
    <row r="942" spans="1:81" ht="12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  <c r="AS942" s="110"/>
      <c r="AT942" s="110"/>
      <c r="AU942" s="110"/>
      <c r="AV942" s="110"/>
      <c r="AW942" s="110"/>
      <c r="AX942" s="110"/>
      <c r="AY942" s="110"/>
      <c r="AZ942" s="110"/>
      <c r="BA942" s="110"/>
      <c r="BB942" s="110"/>
      <c r="BC942" s="110"/>
      <c r="BD942" s="110"/>
      <c r="BE942" s="110"/>
      <c r="BF942" s="110"/>
      <c r="BG942" s="110"/>
      <c r="BH942" s="110"/>
      <c r="BI942" s="110"/>
      <c r="BJ942" s="110"/>
      <c r="BK942" s="110"/>
      <c r="BL942" s="110"/>
      <c r="BM942" s="110"/>
      <c r="BN942" s="110"/>
      <c r="BO942" s="110"/>
      <c r="BP942" s="110"/>
      <c r="BQ942" s="110"/>
      <c r="BR942" s="110"/>
      <c r="BS942" s="110"/>
      <c r="BT942" s="110"/>
      <c r="BU942" s="110"/>
      <c r="BV942" s="110"/>
      <c r="BW942" s="110"/>
      <c r="BX942" s="110"/>
      <c r="BY942" s="110"/>
      <c r="BZ942" s="110"/>
      <c r="CA942" s="110"/>
      <c r="CB942" s="110"/>
      <c r="CC942" s="110"/>
    </row>
    <row r="943" spans="1:81" ht="12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  <c r="AS943" s="110"/>
      <c r="AT943" s="110"/>
      <c r="AU943" s="110"/>
      <c r="AV943" s="110"/>
      <c r="AW943" s="110"/>
      <c r="AX943" s="110"/>
      <c r="AY943" s="110"/>
      <c r="AZ943" s="110"/>
      <c r="BA943" s="110"/>
      <c r="BB943" s="110"/>
      <c r="BC943" s="110"/>
      <c r="BD943" s="110"/>
      <c r="BE943" s="110"/>
      <c r="BF943" s="110"/>
      <c r="BG943" s="110"/>
      <c r="BH943" s="110"/>
      <c r="BI943" s="110"/>
      <c r="BJ943" s="110"/>
      <c r="BK943" s="110"/>
      <c r="BL943" s="110"/>
      <c r="BM943" s="110"/>
      <c r="BN943" s="110"/>
      <c r="BO943" s="110"/>
      <c r="BP943" s="110"/>
      <c r="BQ943" s="110"/>
      <c r="BR943" s="110"/>
      <c r="BS943" s="110"/>
      <c r="BT943" s="110"/>
      <c r="BU943" s="110"/>
      <c r="BV943" s="110"/>
      <c r="BW943" s="110"/>
      <c r="BX943" s="110"/>
      <c r="BY943" s="110"/>
      <c r="BZ943" s="110"/>
      <c r="CA943" s="110"/>
      <c r="CB943" s="110"/>
      <c r="CC943" s="110"/>
    </row>
    <row r="944" spans="1:81" ht="12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  <c r="AS944" s="110"/>
      <c r="AT944" s="110"/>
      <c r="AU944" s="110"/>
      <c r="AV944" s="110"/>
      <c r="AW944" s="110"/>
      <c r="AX944" s="110"/>
      <c r="AY944" s="110"/>
      <c r="AZ944" s="110"/>
      <c r="BA944" s="110"/>
      <c r="BB944" s="110"/>
      <c r="BC944" s="110"/>
      <c r="BD944" s="110"/>
      <c r="BE944" s="110"/>
      <c r="BF944" s="110"/>
      <c r="BG944" s="110"/>
      <c r="BH944" s="110"/>
      <c r="BI944" s="110"/>
      <c r="BJ944" s="110"/>
      <c r="BK944" s="110"/>
      <c r="BL944" s="110"/>
      <c r="BM944" s="110"/>
      <c r="BN944" s="110"/>
      <c r="BO944" s="110"/>
      <c r="BP944" s="110"/>
      <c r="BQ944" s="110"/>
      <c r="BR944" s="110"/>
      <c r="BS944" s="110"/>
      <c r="BT944" s="110"/>
      <c r="BU944" s="110"/>
      <c r="BV944" s="110"/>
      <c r="BW944" s="110"/>
      <c r="BX944" s="110"/>
      <c r="BY944" s="110"/>
      <c r="BZ944" s="110"/>
      <c r="CA944" s="110"/>
      <c r="CB944" s="110"/>
      <c r="CC944" s="110"/>
    </row>
    <row r="945" spans="1:81" ht="12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  <c r="AS945" s="110"/>
      <c r="AT945" s="110"/>
      <c r="AU945" s="110"/>
      <c r="AV945" s="110"/>
      <c r="AW945" s="110"/>
      <c r="AX945" s="110"/>
      <c r="AY945" s="110"/>
      <c r="AZ945" s="110"/>
      <c r="BA945" s="110"/>
      <c r="BB945" s="110"/>
      <c r="BC945" s="110"/>
      <c r="BD945" s="110"/>
      <c r="BE945" s="110"/>
      <c r="BF945" s="110"/>
      <c r="BG945" s="110"/>
      <c r="BH945" s="110"/>
      <c r="BI945" s="110"/>
      <c r="BJ945" s="110"/>
      <c r="BK945" s="110"/>
      <c r="BL945" s="110"/>
      <c r="BM945" s="110"/>
      <c r="BN945" s="110"/>
      <c r="BO945" s="110"/>
      <c r="BP945" s="110"/>
      <c r="BQ945" s="110"/>
      <c r="BR945" s="110"/>
      <c r="BS945" s="110"/>
      <c r="BT945" s="110"/>
      <c r="BU945" s="110"/>
      <c r="BV945" s="110"/>
      <c r="BW945" s="110"/>
      <c r="BX945" s="110"/>
      <c r="BY945" s="110"/>
      <c r="BZ945" s="110"/>
      <c r="CA945" s="110"/>
      <c r="CB945" s="110"/>
      <c r="CC945" s="110"/>
    </row>
    <row r="946" spans="1:81" ht="12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  <c r="AS946" s="110"/>
      <c r="AT946" s="110"/>
      <c r="AU946" s="110"/>
      <c r="AV946" s="110"/>
      <c r="AW946" s="110"/>
      <c r="AX946" s="110"/>
      <c r="AY946" s="110"/>
      <c r="AZ946" s="110"/>
      <c r="BA946" s="110"/>
      <c r="BB946" s="110"/>
      <c r="BC946" s="110"/>
      <c r="BD946" s="110"/>
      <c r="BE946" s="110"/>
      <c r="BF946" s="110"/>
      <c r="BG946" s="110"/>
      <c r="BH946" s="110"/>
      <c r="BI946" s="110"/>
      <c r="BJ946" s="110"/>
      <c r="BK946" s="110"/>
      <c r="BL946" s="110"/>
      <c r="BM946" s="110"/>
      <c r="BN946" s="110"/>
      <c r="BO946" s="110"/>
      <c r="BP946" s="110"/>
      <c r="BQ946" s="110"/>
      <c r="BR946" s="110"/>
      <c r="BS946" s="110"/>
      <c r="BT946" s="110"/>
      <c r="BU946" s="110"/>
      <c r="BV946" s="110"/>
      <c r="BW946" s="110"/>
      <c r="BX946" s="110"/>
      <c r="BY946" s="110"/>
      <c r="BZ946" s="110"/>
      <c r="CA946" s="110"/>
      <c r="CB946" s="110"/>
      <c r="CC946" s="110"/>
    </row>
    <row r="947" spans="1:81" ht="12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  <c r="AS947" s="110"/>
      <c r="AT947" s="110"/>
      <c r="AU947" s="110"/>
      <c r="AV947" s="110"/>
      <c r="AW947" s="110"/>
      <c r="AX947" s="110"/>
      <c r="AY947" s="110"/>
      <c r="AZ947" s="110"/>
      <c r="BA947" s="110"/>
      <c r="BB947" s="110"/>
      <c r="BC947" s="110"/>
      <c r="BD947" s="110"/>
      <c r="BE947" s="110"/>
      <c r="BF947" s="110"/>
      <c r="BG947" s="110"/>
      <c r="BH947" s="110"/>
      <c r="BI947" s="110"/>
      <c r="BJ947" s="110"/>
      <c r="BK947" s="110"/>
      <c r="BL947" s="110"/>
      <c r="BM947" s="110"/>
      <c r="BN947" s="110"/>
      <c r="BO947" s="110"/>
      <c r="BP947" s="110"/>
      <c r="BQ947" s="110"/>
      <c r="BR947" s="110"/>
      <c r="BS947" s="110"/>
      <c r="BT947" s="110"/>
      <c r="BU947" s="110"/>
      <c r="BV947" s="110"/>
      <c r="BW947" s="110"/>
      <c r="BX947" s="110"/>
      <c r="BY947" s="110"/>
      <c r="BZ947" s="110"/>
      <c r="CA947" s="110"/>
      <c r="CB947" s="110"/>
      <c r="CC947" s="110"/>
    </row>
    <row r="948" spans="1:81" ht="12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  <c r="AS948" s="110"/>
      <c r="AT948" s="110"/>
      <c r="AU948" s="110"/>
      <c r="AV948" s="110"/>
      <c r="AW948" s="110"/>
      <c r="AX948" s="110"/>
      <c r="AY948" s="110"/>
      <c r="AZ948" s="110"/>
      <c r="BA948" s="110"/>
      <c r="BB948" s="110"/>
      <c r="BC948" s="110"/>
      <c r="BD948" s="110"/>
      <c r="BE948" s="110"/>
      <c r="BF948" s="110"/>
      <c r="BG948" s="110"/>
      <c r="BH948" s="110"/>
      <c r="BI948" s="110"/>
      <c r="BJ948" s="110"/>
      <c r="BK948" s="110"/>
      <c r="BL948" s="110"/>
      <c r="BM948" s="110"/>
      <c r="BN948" s="110"/>
      <c r="BO948" s="110"/>
      <c r="BP948" s="110"/>
      <c r="BQ948" s="110"/>
      <c r="BR948" s="110"/>
      <c r="BS948" s="110"/>
      <c r="BT948" s="110"/>
      <c r="BU948" s="110"/>
      <c r="BV948" s="110"/>
      <c r="BW948" s="110"/>
      <c r="BX948" s="110"/>
      <c r="BY948" s="110"/>
      <c r="BZ948" s="110"/>
      <c r="CA948" s="110"/>
      <c r="CB948" s="110"/>
      <c r="CC948" s="110"/>
    </row>
    <row r="949" spans="1:81" ht="12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  <c r="AS949" s="110"/>
      <c r="AT949" s="110"/>
      <c r="AU949" s="110"/>
      <c r="AV949" s="110"/>
      <c r="AW949" s="110"/>
      <c r="AX949" s="110"/>
      <c r="AY949" s="110"/>
      <c r="AZ949" s="110"/>
      <c r="BA949" s="110"/>
      <c r="BB949" s="110"/>
      <c r="BC949" s="110"/>
      <c r="BD949" s="110"/>
      <c r="BE949" s="110"/>
      <c r="BF949" s="110"/>
      <c r="BG949" s="110"/>
      <c r="BH949" s="110"/>
      <c r="BI949" s="110"/>
      <c r="BJ949" s="110"/>
      <c r="BK949" s="110"/>
      <c r="BL949" s="110"/>
      <c r="BM949" s="110"/>
      <c r="BN949" s="110"/>
      <c r="BO949" s="110"/>
      <c r="BP949" s="110"/>
      <c r="BQ949" s="110"/>
      <c r="BR949" s="110"/>
      <c r="BS949" s="110"/>
      <c r="BT949" s="110"/>
      <c r="BU949" s="110"/>
      <c r="BV949" s="110"/>
      <c r="BW949" s="110"/>
      <c r="BX949" s="110"/>
      <c r="BY949" s="110"/>
      <c r="BZ949" s="110"/>
      <c r="CA949" s="110"/>
      <c r="CB949" s="110"/>
      <c r="CC949" s="110"/>
    </row>
    <row r="950" spans="1:81" ht="12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  <c r="AS950" s="110"/>
      <c r="AT950" s="110"/>
      <c r="AU950" s="110"/>
      <c r="AV950" s="110"/>
      <c r="AW950" s="110"/>
      <c r="AX950" s="110"/>
      <c r="AY950" s="110"/>
      <c r="AZ950" s="110"/>
      <c r="BA950" s="110"/>
      <c r="BB950" s="110"/>
      <c r="BC950" s="110"/>
      <c r="BD950" s="110"/>
      <c r="BE950" s="110"/>
      <c r="BF950" s="110"/>
      <c r="BG950" s="110"/>
      <c r="BH950" s="110"/>
      <c r="BI950" s="110"/>
      <c r="BJ950" s="110"/>
      <c r="BK950" s="110"/>
      <c r="BL950" s="110"/>
      <c r="BM950" s="110"/>
      <c r="BN950" s="110"/>
      <c r="BO950" s="110"/>
      <c r="BP950" s="110"/>
      <c r="BQ950" s="110"/>
      <c r="BR950" s="110"/>
      <c r="BS950" s="110"/>
      <c r="BT950" s="110"/>
      <c r="BU950" s="110"/>
      <c r="BV950" s="110"/>
      <c r="BW950" s="110"/>
      <c r="BX950" s="110"/>
      <c r="BY950" s="110"/>
      <c r="BZ950" s="110"/>
      <c r="CA950" s="110"/>
      <c r="CB950" s="110"/>
      <c r="CC950" s="110"/>
    </row>
    <row r="951" spans="1:81" ht="12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  <c r="AS951" s="110"/>
      <c r="AT951" s="110"/>
      <c r="AU951" s="110"/>
      <c r="AV951" s="110"/>
      <c r="AW951" s="110"/>
      <c r="AX951" s="110"/>
      <c r="AY951" s="110"/>
      <c r="AZ951" s="110"/>
      <c r="BA951" s="110"/>
      <c r="BB951" s="110"/>
      <c r="BC951" s="110"/>
      <c r="BD951" s="110"/>
      <c r="BE951" s="110"/>
      <c r="BF951" s="110"/>
      <c r="BG951" s="110"/>
      <c r="BH951" s="110"/>
      <c r="BI951" s="110"/>
      <c r="BJ951" s="110"/>
      <c r="BK951" s="110"/>
      <c r="BL951" s="110"/>
      <c r="BM951" s="110"/>
      <c r="BN951" s="110"/>
      <c r="BO951" s="110"/>
      <c r="BP951" s="110"/>
      <c r="BQ951" s="110"/>
      <c r="BR951" s="110"/>
      <c r="BS951" s="110"/>
      <c r="BT951" s="110"/>
      <c r="BU951" s="110"/>
      <c r="BV951" s="110"/>
      <c r="BW951" s="110"/>
      <c r="BX951" s="110"/>
      <c r="BY951" s="110"/>
      <c r="BZ951" s="110"/>
      <c r="CA951" s="110"/>
      <c r="CB951" s="110"/>
      <c r="CC951" s="110"/>
    </row>
    <row r="952" spans="1:81" ht="12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  <c r="AS952" s="110"/>
      <c r="AT952" s="110"/>
      <c r="AU952" s="110"/>
      <c r="AV952" s="110"/>
      <c r="AW952" s="110"/>
      <c r="AX952" s="110"/>
      <c r="AY952" s="110"/>
      <c r="AZ952" s="110"/>
      <c r="BA952" s="110"/>
      <c r="BB952" s="110"/>
      <c r="BC952" s="110"/>
      <c r="BD952" s="110"/>
      <c r="BE952" s="110"/>
      <c r="BF952" s="110"/>
      <c r="BG952" s="110"/>
      <c r="BH952" s="110"/>
      <c r="BI952" s="110"/>
      <c r="BJ952" s="110"/>
      <c r="BK952" s="110"/>
      <c r="BL952" s="110"/>
      <c r="BM952" s="110"/>
      <c r="BN952" s="110"/>
      <c r="BO952" s="110"/>
      <c r="BP952" s="110"/>
      <c r="BQ952" s="110"/>
      <c r="BR952" s="110"/>
      <c r="BS952" s="110"/>
      <c r="BT952" s="110"/>
      <c r="BU952" s="110"/>
      <c r="BV952" s="110"/>
      <c r="BW952" s="110"/>
      <c r="BX952" s="110"/>
      <c r="BY952" s="110"/>
      <c r="BZ952" s="110"/>
      <c r="CA952" s="110"/>
      <c r="CB952" s="110"/>
      <c r="CC952" s="110"/>
    </row>
    <row r="953" spans="1:81" ht="12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  <c r="AU953" s="110"/>
      <c r="AV953" s="110"/>
      <c r="AW953" s="110"/>
      <c r="AX953" s="110"/>
      <c r="AY953" s="110"/>
      <c r="AZ953" s="110"/>
      <c r="BA953" s="110"/>
      <c r="BB953" s="110"/>
      <c r="BC953" s="110"/>
      <c r="BD953" s="110"/>
      <c r="BE953" s="110"/>
      <c r="BF953" s="110"/>
      <c r="BG953" s="110"/>
      <c r="BH953" s="110"/>
      <c r="BI953" s="110"/>
      <c r="BJ953" s="110"/>
      <c r="BK953" s="110"/>
      <c r="BL953" s="110"/>
      <c r="BM953" s="110"/>
      <c r="BN953" s="110"/>
      <c r="BO953" s="110"/>
      <c r="BP953" s="110"/>
      <c r="BQ953" s="110"/>
      <c r="BR953" s="110"/>
      <c r="BS953" s="110"/>
      <c r="BT953" s="110"/>
      <c r="BU953" s="110"/>
      <c r="BV953" s="110"/>
      <c r="BW953" s="110"/>
      <c r="BX953" s="110"/>
      <c r="BY953" s="110"/>
      <c r="BZ953" s="110"/>
      <c r="CA953" s="110"/>
      <c r="CB953" s="110"/>
      <c r="CC953" s="110"/>
    </row>
    <row r="954" spans="1:81" ht="12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  <c r="AS954" s="110"/>
      <c r="AT954" s="110"/>
      <c r="AU954" s="110"/>
      <c r="AV954" s="110"/>
      <c r="AW954" s="110"/>
      <c r="AX954" s="110"/>
      <c r="AY954" s="110"/>
      <c r="AZ954" s="110"/>
      <c r="BA954" s="110"/>
      <c r="BB954" s="110"/>
      <c r="BC954" s="110"/>
      <c r="BD954" s="110"/>
      <c r="BE954" s="110"/>
      <c r="BF954" s="110"/>
      <c r="BG954" s="110"/>
      <c r="BH954" s="110"/>
      <c r="BI954" s="110"/>
      <c r="BJ954" s="110"/>
      <c r="BK954" s="110"/>
      <c r="BL954" s="110"/>
      <c r="BM954" s="110"/>
      <c r="BN954" s="110"/>
      <c r="BO954" s="110"/>
      <c r="BP954" s="110"/>
      <c r="BQ954" s="110"/>
      <c r="BR954" s="110"/>
      <c r="BS954" s="110"/>
      <c r="BT954" s="110"/>
      <c r="BU954" s="110"/>
      <c r="BV954" s="110"/>
      <c r="BW954" s="110"/>
      <c r="BX954" s="110"/>
      <c r="BY954" s="110"/>
      <c r="BZ954" s="110"/>
      <c r="CA954" s="110"/>
      <c r="CB954" s="110"/>
      <c r="CC954" s="110"/>
    </row>
    <row r="955" spans="1:81" ht="12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  <c r="AU955" s="110"/>
      <c r="AV955" s="110"/>
      <c r="AW955" s="110"/>
      <c r="AX955" s="110"/>
      <c r="AY955" s="110"/>
      <c r="AZ955" s="110"/>
      <c r="BA955" s="110"/>
      <c r="BB955" s="110"/>
      <c r="BC955" s="110"/>
      <c r="BD955" s="110"/>
      <c r="BE955" s="110"/>
      <c r="BF955" s="110"/>
      <c r="BG955" s="110"/>
      <c r="BH955" s="110"/>
      <c r="BI955" s="110"/>
      <c r="BJ955" s="110"/>
      <c r="BK955" s="110"/>
      <c r="BL955" s="110"/>
      <c r="BM955" s="110"/>
      <c r="BN955" s="110"/>
      <c r="BO955" s="110"/>
      <c r="BP955" s="110"/>
      <c r="BQ955" s="110"/>
      <c r="BR955" s="110"/>
      <c r="BS955" s="110"/>
      <c r="BT955" s="110"/>
      <c r="BU955" s="110"/>
      <c r="BV955" s="110"/>
      <c r="BW955" s="110"/>
      <c r="BX955" s="110"/>
      <c r="BY955" s="110"/>
      <c r="BZ955" s="110"/>
      <c r="CA955" s="110"/>
      <c r="CB955" s="110"/>
      <c r="CC955" s="110"/>
    </row>
    <row r="956" spans="1:81" ht="12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  <c r="AS956" s="110"/>
      <c r="AT956" s="110"/>
      <c r="AU956" s="110"/>
      <c r="AV956" s="110"/>
      <c r="AW956" s="110"/>
      <c r="AX956" s="110"/>
      <c r="AY956" s="110"/>
      <c r="AZ956" s="110"/>
      <c r="BA956" s="110"/>
      <c r="BB956" s="110"/>
      <c r="BC956" s="110"/>
      <c r="BD956" s="110"/>
      <c r="BE956" s="110"/>
      <c r="BF956" s="110"/>
      <c r="BG956" s="110"/>
      <c r="BH956" s="110"/>
      <c r="BI956" s="110"/>
      <c r="BJ956" s="110"/>
      <c r="BK956" s="110"/>
      <c r="BL956" s="110"/>
      <c r="BM956" s="110"/>
      <c r="BN956" s="110"/>
      <c r="BO956" s="110"/>
      <c r="BP956" s="110"/>
      <c r="BQ956" s="110"/>
      <c r="BR956" s="110"/>
      <c r="BS956" s="110"/>
      <c r="BT956" s="110"/>
      <c r="BU956" s="110"/>
      <c r="BV956" s="110"/>
      <c r="BW956" s="110"/>
      <c r="BX956" s="110"/>
      <c r="BY956" s="110"/>
      <c r="BZ956" s="110"/>
      <c r="CA956" s="110"/>
      <c r="CB956" s="110"/>
      <c r="CC956" s="110"/>
    </row>
    <row r="957" spans="1:81" ht="12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  <c r="AS957" s="110"/>
      <c r="AT957" s="110"/>
      <c r="AU957" s="110"/>
      <c r="AV957" s="110"/>
      <c r="AW957" s="110"/>
      <c r="AX957" s="110"/>
      <c r="AY957" s="110"/>
      <c r="AZ957" s="110"/>
      <c r="BA957" s="110"/>
      <c r="BB957" s="110"/>
      <c r="BC957" s="110"/>
      <c r="BD957" s="110"/>
      <c r="BE957" s="110"/>
      <c r="BF957" s="110"/>
      <c r="BG957" s="110"/>
      <c r="BH957" s="110"/>
      <c r="BI957" s="110"/>
      <c r="BJ957" s="110"/>
      <c r="BK957" s="110"/>
      <c r="BL957" s="110"/>
      <c r="BM957" s="110"/>
      <c r="BN957" s="110"/>
      <c r="BO957" s="110"/>
      <c r="BP957" s="110"/>
      <c r="BQ957" s="110"/>
      <c r="BR957" s="110"/>
      <c r="BS957" s="110"/>
      <c r="BT957" s="110"/>
      <c r="BU957" s="110"/>
      <c r="BV957" s="110"/>
      <c r="BW957" s="110"/>
      <c r="BX957" s="110"/>
      <c r="BY957" s="110"/>
      <c r="BZ957" s="110"/>
      <c r="CA957" s="110"/>
      <c r="CB957" s="110"/>
      <c r="CC957" s="110"/>
    </row>
    <row r="958" spans="1:81" ht="12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  <c r="AS958" s="110"/>
      <c r="AT958" s="110"/>
      <c r="AU958" s="110"/>
      <c r="AV958" s="110"/>
      <c r="AW958" s="110"/>
      <c r="AX958" s="110"/>
      <c r="AY958" s="110"/>
      <c r="AZ958" s="110"/>
      <c r="BA958" s="110"/>
      <c r="BB958" s="110"/>
      <c r="BC958" s="110"/>
      <c r="BD958" s="110"/>
      <c r="BE958" s="110"/>
      <c r="BF958" s="110"/>
      <c r="BG958" s="110"/>
      <c r="BH958" s="110"/>
      <c r="BI958" s="110"/>
      <c r="BJ958" s="110"/>
      <c r="BK958" s="110"/>
      <c r="BL958" s="110"/>
      <c r="BM958" s="110"/>
      <c r="BN958" s="110"/>
      <c r="BO958" s="110"/>
      <c r="BP958" s="110"/>
      <c r="BQ958" s="110"/>
      <c r="BR958" s="110"/>
      <c r="BS958" s="110"/>
      <c r="BT958" s="110"/>
      <c r="BU958" s="110"/>
      <c r="BV958" s="110"/>
      <c r="BW958" s="110"/>
      <c r="BX958" s="110"/>
      <c r="BY958" s="110"/>
      <c r="BZ958" s="110"/>
      <c r="CA958" s="110"/>
      <c r="CB958" s="110"/>
      <c r="CC958" s="110"/>
    </row>
    <row r="959" spans="1:81" ht="12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  <c r="AS959" s="110"/>
      <c r="AT959" s="110"/>
      <c r="AU959" s="110"/>
      <c r="AV959" s="110"/>
      <c r="AW959" s="110"/>
      <c r="AX959" s="110"/>
      <c r="AY959" s="110"/>
      <c r="AZ959" s="110"/>
      <c r="BA959" s="110"/>
      <c r="BB959" s="110"/>
      <c r="BC959" s="110"/>
      <c r="BD959" s="110"/>
      <c r="BE959" s="110"/>
      <c r="BF959" s="110"/>
      <c r="BG959" s="110"/>
      <c r="BH959" s="110"/>
      <c r="BI959" s="110"/>
      <c r="BJ959" s="110"/>
      <c r="BK959" s="110"/>
      <c r="BL959" s="110"/>
      <c r="BM959" s="110"/>
      <c r="BN959" s="110"/>
      <c r="BO959" s="110"/>
      <c r="BP959" s="110"/>
      <c r="BQ959" s="110"/>
      <c r="BR959" s="110"/>
      <c r="BS959" s="110"/>
      <c r="BT959" s="110"/>
      <c r="BU959" s="110"/>
      <c r="BV959" s="110"/>
      <c r="BW959" s="110"/>
      <c r="BX959" s="110"/>
      <c r="BY959" s="110"/>
      <c r="BZ959" s="110"/>
      <c r="CA959" s="110"/>
      <c r="CB959" s="110"/>
      <c r="CC959" s="110"/>
    </row>
    <row r="960" spans="1:81" ht="12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  <c r="AS960" s="110"/>
      <c r="AT960" s="110"/>
      <c r="AU960" s="110"/>
      <c r="AV960" s="110"/>
      <c r="AW960" s="110"/>
      <c r="AX960" s="110"/>
      <c r="AY960" s="110"/>
      <c r="AZ960" s="110"/>
      <c r="BA960" s="110"/>
      <c r="BB960" s="110"/>
      <c r="BC960" s="110"/>
      <c r="BD960" s="110"/>
      <c r="BE960" s="110"/>
      <c r="BF960" s="110"/>
      <c r="BG960" s="110"/>
      <c r="BH960" s="110"/>
      <c r="BI960" s="110"/>
      <c r="BJ960" s="110"/>
      <c r="BK960" s="110"/>
      <c r="BL960" s="110"/>
      <c r="BM960" s="110"/>
      <c r="BN960" s="110"/>
      <c r="BO960" s="110"/>
      <c r="BP960" s="110"/>
      <c r="BQ960" s="110"/>
      <c r="BR960" s="110"/>
      <c r="BS960" s="110"/>
      <c r="BT960" s="110"/>
      <c r="BU960" s="110"/>
      <c r="BV960" s="110"/>
      <c r="BW960" s="110"/>
      <c r="BX960" s="110"/>
      <c r="BY960" s="110"/>
      <c r="BZ960" s="110"/>
      <c r="CA960" s="110"/>
      <c r="CB960" s="110"/>
      <c r="CC960" s="110"/>
    </row>
    <row r="961" spans="1:81" ht="12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  <c r="AS961" s="110"/>
      <c r="AT961" s="110"/>
      <c r="AU961" s="110"/>
      <c r="AV961" s="110"/>
      <c r="AW961" s="110"/>
      <c r="AX961" s="110"/>
      <c r="AY961" s="110"/>
      <c r="AZ961" s="110"/>
      <c r="BA961" s="110"/>
      <c r="BB961" s="110"/>
      <c r="BC961" s="110"/>
      <c r="BD961" s="110"/>
      <c r="BE961" s="110"/>
      <c r="BF961" s="110"/>
      <c r="BG961" s="110"/>
      <c r="BH961" s="110"/>
      <c r="BI961" s="110"/>
      <c r="BJ961" s="110"/>
      <c r="BK961" s="110"/>
      <c r="BL961" s="110"/>
      <c r="BM961" s="110"/>
      <c r="BN961" s="110"/>
      <c r="BO961" s="110"/>
      <c r="BP961" s="110"/>
      <c r="BQ961" s="110"/>
      <c r="BR961" s="110"/>
      <c r="BS961" s="110"/>
      <c r="BT961" s="110"/>
      <c r="BU961" s="110"/>
      <c r="BV961" s="110"/>
      <c r="BW961" s="110"/>
      <c r="BX961" s="110"/>
      <c r="BY961" s="110"/>
      <c r="BZ961" s="110"/>
      <c r="CA961" s="110"/>
      <c r="CB961" s="110"/>
      <c r="CC961" s="110"/>
    </row>
    <row r="962" spans="1:81" ht="12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  <c r="AS962" s="110"/>
      <c r="AT962" s="110"/>
      <c r="AU962" s="110"/>
      <c r="AV962" s="110"/>
      <c r="AW962" s="110"/>
      <c r="AX962" s="110"/>
      <c r="AY962" s="110"/>
      <c r="AZ962" s="110"/>
      <c r="BA962" s="110"/>
      <c r="BB962" s="110"/>
      <c r="BC962" s="110"/>
      <c r="BD962" s="110"/>
      <c r="BE962" s="110"/>
      <c r="BF962" s="110"/>
      <c r="BG962" s="110"/>
      <c r="BH962" s="110"/>
      <c r="BI962" s="110"/>
      <c r="BJ962" s="110"/>
      <c r="BK962" s="110"/>
      <c r="BL962" s="110"/>
      <c r="BM962" s="110"/>
      <c r="BN962" s="110"/>
      <c r="BO962" s="110"/>
      <c r="BP962" s="110"/>
      <c r="BQ962" s="110"/>
      <c r="BR962" s="110"/>
      <c r="BS962" s="110"/>
      <c r="BT962" s="110"/>
      <c r="BU962" s="110"/>
      <c r="BV962" s="110"/>
      <c r="BW962" s="110"/>
      <c r="BX962" s="110"/>
      <c r="BY962" s="110"/>
      <c r="BZ962" s="110"/>
      <c r="CA962" s="110"/>
      <c r="CB962" s="110"/>
      <c r="CC962" s="110"/>
    </row>
    <row r="963" spans="1:81" ht="12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  <c r="AS963" s="110"/>
      <c r="AT963" s="110"/>
      <c r="AU963" s="110"/>
      <c r="AV963" s="110"/>
      <c r="AW963" s="110"/>
      <c r="AX963" s="110"/>
      <c r="AY963" s="110"/>
      <c r="AZ963" s="110"/>
      <c r="BA963" s="110"/>
      <c r="BB963" s="110"/>
      <c r="BC963" s="110"/>
      <c r="BD963" s="110"/>
      <c r="BE963" s="110"/>
      <c r="BF963" s="110"/>
      <c r="BG963" s="110"/>
      <c r="BH963" s="110"/>
      <c r="BI963" s="110"/>
      <c r="BJ963" s="110"/>
      <c r="BK963" s="110"/>
      <c r="BL963" s="110"/>
      <c r="BM963" s="110"/>
      <c r="BN963" s="110"/>
      <c r="BO963" s="110"/>
      <c r="BP963" s="110"/>
      <c r="BQ963" s="110"/>
      <c r="BR963" s="110"/>
      <c r="BS963" s="110"/>
      <c r="BT963" s="110"/>
      <c r="BU963" s="110"/>
      <c r="BV963" s="110"/>
      <c r="BW963" s="110"/>
      <c r="BX963" s="110"/>
      <c r="BY963" s="110"/>
      <c r="BZ963" s="110"/>
      <c r="CA963" s="110"/>
      <c r="CB963" s="110"/>
      <c r="CC963" s="110"/>
    </row>
    <row r="964" spans="1:81" ht="12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  <c r="AS964" s="110"/>
      <c r="AT964" s="110"/>
      <c r="AU964" s="110"/>
      <c r="AV964" s="110"/>
      <c r="AW964" s="110"/>
      <c r="AX964" s="110"/>
      <c r="AY964" s="110"/>
      <c r="AZ964" s="110"/>
      <c r="BA964" s="110"/>
      <c r="BB964" s="110"/>
      <c r="BC964" s="110"/>
      <c r="BD964" s="110"/>
      <c r="BE964" s="110"/>
      <c r="BF964" s="110"/>
      <c r="BG964" s="110"/>
      <c r="BH964" s="110"/>
      <c r="BI964" s="110"/>
      <c r="BJ964" s="110"/>
      <c r="BK964" s="110"/>
      <c r="BL964" s="110"/>
      <c r="BM964" s="110"/>
      <c r="BN964" s="110"/>
      <c r="BO964" s="110"/>
      <c r="BP964" s="110"/>
      <c r="BQ964" s="110"/>
      <c r="BR964" s="110"/>
      <c r="BS964" s="110"/>
      <c r="BT964" s="110"/>
      <c r="BU964" s="110"/>
      <c r="BV964" s="110"/>
      <c r="BW964" s="110"/>
      <c r="BX964" s="110"/>
      <c r="BY964" s="110"/>
      <c r="BZ964" s="110"/>
      <c r="CA964" s="110"/>
      <c r="CB964" s="110"/>
      <c r="CC964" s="110"/>
    </row>
    <row r="965" spans="1:81" ht="12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  <c r="AS965" s="110"/>
      <c r="AT965" s="110"/>
      <c r="AU965" s="110"/>
      <c r="AV965" s="110"/>
      <c r="AW965" s="110"/>
      <c r="AX965" s="110"/>
      <c r="AY965" s="110"/>
      <c r="AZ965" s="110"/>
      <c r="BA965" s="110"/>
      <c r="BB965" s="110"/>
      <c r="BC965" s="110"/>
      <c r="BD965" s="110"/>
      <c r="BE965" s="110"/>
      <c r="BF965" s="110"/>
      <c r="BG965" s="110"/>
      <c r="BH965" s="110"/>
      <c r="BI965" s="110"/>
      <c r="BJ965" s="110"/>
      <c r="BK965" s="110"/>
      <c r="BL965" s="110"/>
      <c r="BM965" s="110"/>
      <c r="BN965" s="110"/>
      <c r="BO965" s="110"/>
      <c r="BP965" s="110"/>
      <c r="BQ965" s="110"/>
      <c r="BR965" s="110"/>
      <c r="BS965" s="110"/>
      <c r="BT965" s="110"/>
      <c r="BU965" s="110"/>
      <c r="BV965" s="110"/>
      <c r="BW965" s="110"/>
      <c r="BX965" s="110"/>
      <c r="BY965" s="110"/>
      <c r="BZ965" s="110"/>
      <c r="CA965" s="110"/>
      <c r="CB965" s="110"/>
      <c r="CC965" s="110"/>
    </row>
    <row r="966" spans="1:81" ht="12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  <c r="AS966" s="110"/>
      <c r="AT966" s="110"/>
      <c r="AU966" s="110"/>
      <c r="AV966" s="110"/>
      <c r="AW966" s="110"/>
      <c r="AX966" s="110"/>
      <c r="AY966" s="110"/>
      <c r="AZ966" s="110"/>
      <c r="BA966" s="110"/>
      <c r="BB966" s="110"/>
      <c r="BC966" s="110"/>
      <c r="BD966" s="110"/>
      <c r="BE966" s="110"/>
      <c r="BF966" s="110"/>
      <c r="BG966" s="110"/>
      <c r="BH966" s="110"/>
      <c r="BI966" s="110"/>
      <c r="BJ966" s="110"/>
      <c r="BK966" s="110"/>
      <c r="BL966" s="110"/>
      <c r="BM966" s="110"/>
      <c r="BN966" s="110"/>
      <c r="BO966" s="110"/>
      <c r="BP966" s="110"/>
      <c r="BQ966" s="110"/>
      <c r="BR966" s="110"/>
      <c r="BS966" s="110"/>
      <c r="BT966" s="110"/>
      <c r="BU966" s="110"/>
      <c r="BV966" s="110"/>
      <c r="BW966" s="110"/>
      <c r="BX966" s="110"/>
      <c r="BY966" s="110"/>
      <c r="BZ966" s="110"/>
      <c r="CA966" s="110"/>
      <c r="CB966" s="110"/>
      <c r="CC966" s="110"/>
    </row>
    <row r="967" spans="1:81" ht="12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  <c r="AS967" s="110"/>
      <c r="AT967" s="110"/>
      <c r="AU967" s="110"/>
      <c r="AV967" s="110"/>
      <c r="AW967" s="110"/>
      <c r="AX967" s="110"/>
      <c r="AY967" s="110"/>
      <c r="AZ967" s="110"/>
      <c r="BA967" s="110"/>
      <c r="BB967" s="110"/>
      <c r="BC967" s="110"/>
      <c r="BD967" s="110"/>
      <c r="BE967" s="110"/>
      <c r="BF967" s="110"/>
      <c r="BG967" s="110"/>
      <c r="BH967" s="110"/>
      <c r="BI967" s="110"/>
      <c r="BJ967" s="110"/>
      <c r="BK967" s="110"/>
      <c r="BL967" s="110"/>
      <c r="BM967" s="110"/>
      <c r="BN967" s="110"/>
      <c r="BO967" s="110"/>
      <c r="BP967" s="110"/>
      <c r="BQ967" s="110"/>
      <c r="BR967" s="110"/>
      <c r="BS967" s="110"/>
      <c r="BT967" s="110"/>
      <c r="BU967" s="110"/>
      <c r="BV967" s="110"/>
      <c r="BW967" s="110"/>
      <c r="BX967" s="110"/>
      <c r="BY967" s="110"/>
      <c r="BZ967" s="110"/>
      <c r="CA967" s="110"/>
      <c r="CB967" s="110"/>
      <c r="CC967" s="110"/>
    </row>
    <row r="968" spans="1:81" ht="12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  <c r="AS968" s="110"/>
      <c r="AT968" s="110"/>
      <c r="AU968" s="110"/>
      <c r="AV968" s="110"/>
      <c r="AW968" s="110"/>
      <c r="AX968" s="110"/>
      <c r="AY968" s="110"/>
      <c r="AZ968" s="110"/>
      <c r="BA968" s="110"/>
      <c r="BB968" s="110"/>
      <c r="BC968" s="110"/>
      <c r="BD968" s="110"/>
      <c r="BE968" s="110"/>
      <c r="BF968" s="110"/>
      <c r="BG968" s="110"/>
      <c r="BH968" s="110"/>
      <c r="BI968" s="110"/>
      <c r="BJ968" s="110"/>
      <c r="BK968" s="110"/>
      <c r="BL968" s="110"/>
      <c r="BM968" s="110"/>
      <c r="BN968" s="110"/>
      <c r="BO968" s="110"/>
      <c r="BP968" s="110"/>
      <c r="BQ968" s="110"/>
      <c r="BR968" s="110"/>
      <c r="BS968" s="110"/>
      <c r="BT968" s="110"/>
      <c r="BU968" s="110"/>
      <c r="BV968" s="110"/>
      <c r="BW968" s="110"/>
      <c r="BX968" s="110"/>
      <c r="BY968" s="110"/>
      <c r="BZ968" s="110"/>
      <c r="CA968" s="110"/>
      <c r="CB968" s="110"/>
      <c r="CC968" s="110"/>
    </row>
    <row r="969" spans="1:81" ht="12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  <c r="AU969" s="110"/>
      <c r="AV969" s="110"/>
      <c r="AW969" s="110"/>
      <c r="AX969" s="110"/>
      <c r="AY969" s="110"/>
      <c r="AZ969" s="110"/>
      <c r="BA969" s="110"/>
      <c r="BB969" s="110"/>
      <c r="BC969" s="110"/>
      <c r="BD969" s="110"/>
      <c r="BE969" s="110"/>
      <c r="BF969" s="110"/>
      <c r="BG969" s="110"/>
      <c r="BH969" s="110"/>
      <c r="BI969" s="110"/>
      <c r="BJ969" s="110"/>
      <c r="BK969" s="110"/>
      <c r="BL969" s="110"/>
      <c r="BM969" s="110"/>
      <c r="BN969" s="110"/>
      <c r="BO969" s="110"/>
      <c r="BP969" s="110"/>
      <c r="BQ969" s="110"/>
      <c r="BR969" s="110"/>
      <c r="BS969" s="110"/>
      <c r="BT969" s="110"/>
      <c r="BU969" s="110"/>
      <c r="BV969" s="110"/>
      <c r="BW969" s="110"/>
      <c r="BX969" s="110"/>
      <c r="BY969" s="110"/>
      <c r="BZ969" s="110"/>
      <c r="CA969" s="110"/>
      <c r="CB969" s="110"/>
      <c r="CC969" s="110"/>
    </row>
    <row r="970" spans="1:81" ht="12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  <c r="AS970" s="110"/>
      <c r="AT970" s="110"/>
      <c r="AU970" s="110"/>
      <c r="AV970" s="110"/>
      <c r="AW970" s="110"/>
      <c r="AX970" s="110"/>
      <c r="AY970" s="110"/>
      <c r="AZ970" s="110"/>
      <c r="BA970" s="110"/>
      <c r="BB970" s="110"/>
      <c r="BC970" s="110"/>
      <c r="BD970" s="110"/>
      <c r="BE970" s="110"/>
      <c r="BF970" s="110"/>
      <c r="BG970" s="110"/>
      <c r="BH970" s="110"/>
      <c r="BI970" s="110"/>
      <c r="BJ970" s="110"/>
      <c r="BK970" s="110"/>
      <c r="BL970" s="110"/>
      <c r="BM970" s="110"/>
      <c r="BN970" s="110"/>
      <c r="BO970" s="110"/>
      <c r="BP970" s="110"/>
      <c r="BQ970" s="110"/>
      <c r="BR970" s="110"/>
      <c r="BS970" s="110"/>
      <c r="BT970" s="110"/>
      <c r="BU970" s="110"/>
      <c r="BV970" s="110"/>
      <c r="BW970" s="110"/>
      <c r="BX970" s="110"/>
      <c r="BY970" s="110"/>
      <c r="BZ970" s="110"/>
      <c r="CA970" s="110"/>
      <c r="CB970" s="110"/>
      <c r="CC970" s="110"/>
    </row>
    <row r="971" spans="1:81" ht="12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  <c r="AS971" s="110"/>
      <c r="AT971" s="110"/>
      <c r="AU971" s="110"/>
      <c r="AV971" s="110"/>
      <c r="AW971" s="110"/>
      <c r="AX971" s="110"/>
      <c r="AY971" s="110"/>
      <c r="AZ971" s="110"/>
      <c r="BA971" s="110"/>
      <c r="BB971" s="110"/>
      <c r="BC971" s="110"/>
      <c r="BD971" s="110"/>
      <c r="BE971" s="110"/>
      <c r="BF971" s="110"/>
      <c r="BG971" s="110"/>
      <c r="BH971" s="110"/>
      <c r="BI971" s="110"/>
      <c r="BJ971" s="110"/>
      <c r="BK971" s="110"/>
      <c r="BL971" s="110"/>
      <c r="BM971" s="110"/>
      <c r="BN971" s="110"/>
      <c r="BO971" s="110"/>
      <c r="BP971" s="110"/>
      <c r="BQ971" s="110"/>
      <c r="BR971" s="110"/>
      <c r="BS971" s="110"/>
      <c r="BT971" s="110"/>
      <c r="BU971" s="110"/>
      <c r="BV971" s="110"/>
      <c r="BW971" s="110"/>
      <c r="BX971" s="110"/>
      <c r="BY971" s="110"/>
      <c r="BZ971" s="110"/>
      <c r="CA971" s="110"/>
      <c r="CB971" s="110"/>
      <c r="CC971" s="110"/>
    </row>
    <row r="972" spans="1:81" ht="12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  <c r="AS972" s="110"/>
      <c r="AT972" s="110"/>
      <c r="AU972" s="110"/>
      <c r="AV972" s="110"/>
      <c r="AW972" s="110"/>
      <c r="AX972" s="110"/>
      <c r="AY972" s="110"/>
      <c r="AZ972" s="110"/>
      <c r="BA972" s="110"/>
      <c r="BB972" s="110"/>
      <c r="BC972" s="110"/>
      <c r="BD972" s="110"/>
      <c r="BE972" s="110"/>
      <c r="BF972" s="110"/>
      <c r="BG972" s="110"/>
      <c r="BH972" s="110"/>
      <c r="BI972" s="110"/>
      <c r="BJ972" s="110"/>
      <c r="BK972" s="110"/>
      <c r="BL972" s="110"/>
      <c r="BM972" s="110"/>
      <c r="BN972" s="110"/>
      <c r="BO972" s="110"/>
      <c r="BP972" s="110"/>
      <c r="BQ972" s="110"/>
      <c r="BR972" s="110"/>
      <c r="BS972" s="110"/>
      <c r="BT972" s="110"/>
      <c r="BU972" s="110"/>
      <c r="BV972" s="110"/>
      <c r="BW972" s="110"/>
      <c r="BX972" s="110"/>
      <c r="BY972" s="110"/>
      <c r="BZ972" s="110"/>
      <c r="CA972" s="110"/>
      <c r="CB972" s="110"/>
      <c r="CC972" s="110"/>
    </row>
    <row r="973" spans="1:81" ht="12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  <c r="AS973" s="110"/>
      <c r="AT973" s="110"/>
      <c r="AU973" s="110"/>
      <c r="AV973" s="110"/>
      <c r="AW973" s="110"/>
      <c r="AX973" s="110"/>
      <c r="AY973" s="110"/>
      <c r="AZ973" s="110"/>
      <c r="BA973" s="110"/>
      <c r="BB973" s="110"/>
      <c r="BC973" s="110"/>
      <c r="BD973" s="110"/>
      <c r="BE973" s="110"/>
      <c r="BF973" s="110"/>
      <c r="BG973" s="110"/>
      <c r="BH973" s="110"/>
      <c r="BI973" s="110"/>
      <c r="BJ973" s="110"/>
      <c r="BK973" s="110"/>
      <c r="BL973" s="110"/>
      <c r="BM973" s="110"/>
      <c r="BN973" s="110"/>
      <c r="BO973" s="110"/>
      <c r="BP973" s="110"/>
      <c r="BQ973" s="110"/>
      <c r="BR973" s="110"/>
      <c r="BS973" s="110"/>
      <c r="BT973" s="110"/>
      <c r="BU973" s="110"/>
      <c r="BV973" s="110"/>
      <c r="BW973" s="110"/>
      <c r="BX973" s="110"/>
      <c r="BY973" s="110"/>
      <c r="BZ973" s="110"/>
      <c r="CA973" s="110"/>
      <c r="CB973" s="110"/>
      <c r="CC973" s="110"/>
    </row>
    <row r="974" spans="1:81" ht="12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  <c r="AS974" s="110"/>
      <c r="AT974" s="110"/>
      <c r="AU974" s="110"/>
      <c r="AV974" s="110"/>
      <c r="AW974" s="110"/>
      <c r="AX974" s="110"/>
      <c r="AY974" s="110"/>
      <c r="AZ974" s="110"/>
      <c r="BA974" s="110"/>
      <c r="BB974" s="110"/>
      <c r="BC974" s="110"/>
      <c r="BD974" s="110"/>
      <c r="BE974" s="110"/>
      <c r="BF974" s="110"/>
      <c r="BG974" s="110"/>
      <c r="BH974" s="110"/>
      <c r="BI974" s="110"/>
      <c r="BJ974" s="110"/>
      <c r="BK974" s="110"/>
      <c r="BL974" s="110"/>
      <c r="BM974" s="110"/>
      <c r="BN974" s="110"/>
      <c r="BO974" s="110"/>
      <c r="BP974" s="110"/>
      <c r="BQ974" s="110"/>
      <c r="BR974" s="110"/>
      <c r="BS974" s="110"/>
      <c r="BT974" s="110"/>
      <c r="BU974" s="110"/>
      <c r="BV974" s="110"/>
      <c r="BW974" s="110"/>
      <c r="BX974" s="110"/>
      <c r="BY974" s="110"/>
      <c r="BZ974" s="110"/>
      <c r="CA974" s="110"/>
      <c r="CB974" s="110"/>
      <c r="CC974" s="110"/>
    </row>
    <row r="975" spans="1:81" ht="12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  <c r="AS975" s="110"/>
      <c r="AT975" s="110"/>
      <c r="AU975" s="110"/>
      <c r="AV975" s="110"/>
      <c r="AW975" s="110"/>
      <c r="AX975" s="110"/>
      <c r="AY975" s="110"/>
      <c r="AZ975" s="110"/>
      <c r="BA975" s="110"/>
      <c r="BB975" s="110"/>
      <c r="BC975" s="110"/>
      <c r="BD975" s="110"/>
      <c r="BE975" s="110"/>
      <c r="BF975" s="110"/>
      <c r="BG975" s="110"/>
      <c r="BH975" s="110"/>
      <c r="BI975" s="110"/>
      <c r="BJ975" s="110"/>
      <c r="BK975" s="110"/>
      <c r="BL975" s="110"/>
      <c r="BM975" s="110"/>
      <c r="BN975" s="110"/>
      <c r="BO975" s="110"/>
      <c r="BP975" s="110"/>
      <c r="BQ975" s="110"/>
      <c r="BR975" s="110"/>
      <c r="BS975" s="110"/>
      <c r="BT975" s="110"/>
      <c r="BU975" s="110"/>
      <c r="BV975" s="110"/>
      <c r="BW975" s="110"/>
      <c r="BX975" s="110"/>
      <c r="BY975" s="110"/>
      <c r="BZ975" s="110"/>
      <c r="CA975" s="110"/>
      <c r="CB975" s="110"/>
      <c r="CC975" s="110"/>
    </row>
    <row r="976" spans="1:81" ht="12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  <c r="AS976" s="110"/>
      <c r="AT976" s="110"/>
      <c r="AU976" s="110"/>
      <c r="AV976" s="110"/>
      <c r="AW976" s="110"/>
      <c r="AX976" s="110"/>
      <c r="AY976" s="110"/>
      <c r="AZ976" s="110"/>
      <c r="BA976" s="110"/>
      <c r="BB976" s="110"/>
      <c r="BC976" s="110"/>
      <c r="BD976" s="110"/>
      <c r="BE976" s="110"/>
      <c r="BF976" s="110"/>
      <c r="BG976" s="110"/>
      <c r="BH976" s="110"/>
      <c r="BI976" s="110"/>
      <c r="BJ976" s="110"/>
      <c r="BK976" s="110"/>
      <c r="BL976" s="110"/>
      <c r="BM976" s="110"/>
      <c r="BN976" s="110"/>
      <c r="BO976" s="110"/>
      <c r="BP976" s="110"/>
      <c r="BQ976" s="110"/>
      <c r="BR976" s="110"/>
      <c r="BS976" s="110"/>
      <c r="BT976" s="110"/>
      <c r="BU976" s="110"/>
      <c r="BV976" s="110"/>
      <c r="BW976" s="110"/>
      <c r="BX976" s="110"/>
      <c r="BY976" s="110"/>
      <c r="BZ976" s="110"/>
      <c r="CA976" s="110"/>
      <c r="CB976" s="110"/>
      <c r="CC976" s="110"/>
    </row>
    <row r="977" spans="1:81" ht="12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  <c r="AS977" s="110"/>
      <c r="AT977" s="110"/>
      <c r="AU977" s="110"/>
      <c r="AV977" s="110"/>
      <c r="AW977" s="110"/>
      <c r="AX977" s="110"/>
      <c r="AY977" s="110"/>
      <c r="AZ977" s="110"/>
      <c r="BA977" s="110"/>
      <c r="BB977" s="110"/>
      <c r="BC977" s="110"/>
      <c r="BD977" s="110"/>
      <c r="BE977" s="110"/>
      <c r="BF977" s="110"/>
      <c r="BG977" s="110"/>
      <c r="BH977" s="110"/>
      <c r="BI977" s="110"/>
      <c r="BJ977" s="110"/>
      <c r="BK977" s="110"/>
      <c r="BL977" s="110"/>
      <c r="BM977" s="110"/>
      <c r="BN977" s="110"/>
      <c r="BO977" s="110"/>
      <c r="BP977" s="110"/>
      <c r="BQ977" s="110"/>
      <c r="BR977" s="110"/>
      <c r="BS977" s="110"/>
      <c r="BT977" s="110"/>
      <c r="BU977" s="110"/>
      <c r="BV977" s="110"/>
      <c r="BW977" s="110"/>
      <c r="BX977" s="110"/>
      <c r="BY977" s="110"/>
      <c r="BZ977" s="110"/>
      <c r="CA977" s="110"/>
      <c r="CB977" s="110"/>
      <c r="CC977" s="110"/>
    </row>
    <row r="978" spans="1:81" ht="12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  <c r="AS978" s="110"/>
      <c r="AT978" s="110"/>
      <c r="AU978" s="110"/>
      <c r="AV978" s="110"/>
      <c r="AW978" s="110"/>
      <c r="AX978" s="110"/>
      <c r="AY978" s="110"/>
      <c r="AZ978" s="110"/>
      <c r="BA978" s="110"/>
      <c r="BB978" s="110"/>
      <c r="BC978" s="110"/>
      <c r="BD978" s="110"/>
      <c r="BE978" s="110"/>
      <c r="BF978" s="110"/>
      <c r="BG978" s="110"/>
      <c r="BH978" s="110"/>
      <c r="BI978" s="110"/>
      <c r="BJ978" s="110"/>
      <c r="BK978" s="110"/>
      <c r="BL978" s="110"/>
      <c r="BM978" s="110"/>
      <c r="BN978" s="110"/>
      <c r="BO978" s="110"/>
      <c r="BP978" s="110"/>
      <c r="BQ978" s="110"/>
      <c r="BR978" s="110"/>
      <c r="BS978" s="110"/>
      <c r="BT978" s="110"/>
      <c r="BU978" s="110"/>
      <c r="BV978" s="110"/>
      <c r="BW978" s="110"/>
      <c r="BX978" s="110"/>
      <c r="BY978" s="110"/>
      <c r="BZ978" s="110"/>
      <c r="CA978" s="110"/>
      <c r="CB978" s="110"/>
      <c r="CC978" s="110"/>
    </row>
    <row r="979" spans="1:81" ht="12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  <c r="AS979" s="110"/>
      <c r="AT979" s="110"/>
      <c r="AU979" s="110"/>
      <c r="AV979" s="110"/>
      <c r="AW979" s="110"/>
      <c r="AX979" s="110"/>
      <c r="AY979" s="110"/>
      <c r="AZ979" s="110"/>
      <c r="BA979" s="110"/>
      <c r="BB979" s="110"/>
      <c r="BC979" s="110"/>
      <c r="BD979" s="110"/>
      <c r="BE979" s="110"/>
      <c r="BF979" s="110"/>
      <c r="BG979" s="110"/>
      <c r="BH979" s="110"/>
      <c r="BI979" s="110"/>
      <c r="BJ979" s="110"/>
      <c r="BK979" s="110"/>
      <c r="BL979" s="110"/>
      <c r="BM979" s="110"/>
      <c r="BN979" s="110"/>
      <c r="BO979" s="110"/>
      <c r="BP979" s="110"/>
      <c r="BQ979" s="110"/>
      <c r="BR979" s="110"/>
      <c r="BS979" s="110"/>
      <c r="BT979" s="110"/>
      <c r="BU979" s="110"/>
      <c r="BV979" s="110"/>
      <c r="BW979" s="110"/>
      <c r="BX979" s="110"/>
      <c r="BY979" s="110"/>
      <c r="BZ979" s="110"/>
      <c r="CA979" s="110"/>
      <c r="CB979" s="110"/>
      <c r="CC979" s="110"/>
    </row>
    <row r="980" spans="1:81" ht="12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  <c r="AS980" s="110"/>
      <c r="AT980" s="110"/>
      <c r="AU980" s="110"/>
      <c r="AV980" s="110"/>
      <c r="AW980" s="110"/>
      <c r="AX980" s="110"/>
      <c r="AY980" s="110"/>
      <c r="AZ980" s="110"/>
      <c r="BA980" s="110"/>
      <c r="BB980" s="110"/>
      <c r="BC980" s="110"/>
      <c r="BD980" s="110"/>
      <c r="BE980" s="110"/>
      <c r="BF980" s="110"/>
      <c r="BG980" s="110"/>
      <c r="BH980" s="110"/>
      <c r="BI980" s="110"/>
      <c r="BJ980" s="110"/>
      <c r="BK980" s="110"/>
      <c r="BL980" s="110"/>
      <c r="BM980" s="110"/>
      <c r="BN980" s="110"/>
      <c r="BO980" s="110"/>
      <c r="BP980" s="110"/>
      <c r="BQ980" s="110"/>
      <c r="BR980" s="110"/>
      <c r="BS980" s="110"/>
      <c r="BT980" s="110"/>
      <c r="BU980" s="110"/>
      <c r="BV980" s="110"/>
      <c r="BW980" s="110"/>
      <c r="BX980" s="110"/>
      <c r="BY980" s="110"/>
      <c r="BZ980" s="110"/>
      <c r="CA980" s="110"/>
      <c r="CB980" s="110"/>
      <c r="CC980" s="110"/>
    </row>
    <row r="981" spans="1:81" ht="12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  <c r="AS981" s="110"/>
      <c r="AT981" s="110"/>
      <c r="AU981" s="110"/>
      <c r="AV981" s="110"/>
      <c r="AW981" s="110"/>
      <c r="AX981" s="110"/>
      <c r="AY981" s="110"/>
      <c r="AZ981" s="110"/>
      <c r="BA981" s="110"/>
      <c r="BB981" s="110"/>
      <c r="BC981" s="110"/>
      <c r="BD981" s="110"/>
      <c r="BE981" s="110"/>
      <c r="BF981" s="110"/>
      <c r="BG981" s="110"/>
      <c r="BH981" s="110"/>
      <c r="BI981" s="110"/>
      <c r="BJ981" s="110"/>
      <c r="BK981" s="110"/>
      <c r="BL981" s="110"/>
      <c r="BM981" s="110"/>
      <c r="BN981" s="110"/>
      <c r="BO981" s="110"/>
      <c r="BP981" s="110"/>
      <c r="BQ981" s="110"/>
      <c r="BR981" s="110"/>
      <c r="BS981" s="110"/>
      <c r="BT981" s="110"/>
      <c r="BU981" s="110"/>
      <c r="BV981" s="110"/>
      <c r="BW981" s="110"/>
      <c r="BX981" s="110"/>
      <c r="BY981" s="110"/>
      <c r="BZ981" s="110"/>
      <c r="CA981" s="110"/>
      <c r="CB981" s="110"/>
      <c r="CC981" s="110"/>
    </row>
    <row r="982" spans="1:81" ht="12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  <c r="AS982" s="110"/>
      <c r="AT982" s="110"/>
      <c r="AU982" s="110"/>
      <c r="AV982" s="110"/>
      <c r="AW982" s="110"/>
      <c r="AX982" s="110"/>
      <c r="AY982" s="110"/>
      <c r="AZ982" s="110"/>
      <c r="BA982" s="110"/>
      <c r="BB982" s="110"/>
      <c r="BC982" s="110"/>
      <c r="BD982" s="110"/>
      <c r="BE982" s="110"/>
      <c r="BF982" s="110"/>
      <c r="BG982" s="110"/>
      <c r="BH982" s="110"/>
      <c r="BI982" s="110"/>
      <c r="BJ982" s="110"/>
      <c r="BK982" s="110"/>
      <c r="BL982" s="110"/>
      <c r="BM982" s="110"/>
      <c r="BN982" s="110"/>
      <c r="BO982" s="110"/>
      <c r="BP982" s="110"/>
      <c r="BQ982" s="110"/>
      <c r="BR982" s="110"/>
      <c r="BS982" s="110"/>
      <c r="BT982" s="110"/>
      <c r="BU982" s="110"/>
      <c r="BV982" s="110"/>
      <c r="BW982" s="110"/>
      <c r="BX982" s="110"/>
      <c r="BY982" s="110"/>
      <c r="BZ982" s="110"/>
      <c r="CA982" s="110"/>
      <c r="CB982" s="110"/>
      <c r="CC982" s="110"/>
    </row>
    <row r="983" spans="1:81" ht="12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  <c r="AS983" s="110"/>
      <c r="AT983" s="110"/>
      <c r="AU983" s="110"/>
      <c r="AV983" s="110"/>
      <c r="AW983" s="110"/>
      <c r="AX983" s="110"/>
      <c r="AY983" s="110"/>
      <c r="AZ983" s="110"/>
      <c r="BA983" s="110"/>
      <c r="BB983" s="110"/>
      <c r="BC983" s="110"/>
      <c r="BD983" s="110"/>
      <c r="BE983" s="110"/>
      <c r="BF983" s="110"/>
      <c r="BG983" s="110"/>
      <c r="BH983" s="110"/>
      <c r="BI983" s="110"/>
      <c r="BJ983" s="110"/>
      <c r="BK983" s="110"/>
      <c r="BL983" s="110"/>
      <c r="BM983" s="110"/>
      <c r="BN983" s="110"/>
      <c r="BO983" s="110"/>
      <c r="BP983" s="110"/>
      <c r="BQ983" s="110"/>
      <c r="BR983" s="110"/>
      <c r="BS983" s="110"/>
      <c r="BT983" s="110"/>
      <c r="BU983" s="110"/>
      <c r="BV983" s="110"/>
      <c r="BW983" s="110"/>
      <c r="BX983" s="110"/>
      <c r="BY983" s="110"/>
      <c r="BZ983" s="110"/>
      <c r="CA983" s="110"/>
      <c r="CB983" s="110"/>
      <c r="CC983" s="110"/>
    </row>
    <row r="984" spans="1:81" ht="12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  <c r="AS984" s="110"/>
      <c r="AT984" s="110"/>
      <c r="AU984" s="110"/>
      <c r="AV984" s="110"/>
      <c r="AW984" s="110"/>
      <c r="AX984" s="110"/>
      <c r="AY984" s="110"/>
      <c r="AZ984" s="110"/>
      <c r="BA984" s="110"/>
      <c r="BB984" s="110"/>
      <c r="BC984" s="110"/>
      <c r="BD984" s="110"/>
      <c r="BE984" s="110"/>
      <c r="BF984" s="110"/>
      <c r="BG984" s="110"/>
      <c r="BH984" s="110"/>
      <c r="BI984" s="110"/>
      <c r="BJ984" s="110"/>
      <c r="BK984" s="110"/>
      <c r="BL984" s="110"/>
      <c r="BM984" s="110"/>
      <c r="BN984" s="110"/>
      <c r="BO984" s="110"/>
      <c r="BP984" s="110"/>
      <c r="BQ984" s="110"/>
      <c r="BR984" s="110"/>
      <c r="BS984" s="110"/>
      <c r="BT984" s="110"/>
      <c r="BU984" s="110"/>
      <c r="BV984" s="110"/>
      <c r="BW984" s="110"/>
      <c r="BX984" s="110"/>
      <c r="BY984" s="110"/>
      <c r="BZ984" s="110"/>
      <c r="CA984" s="110"/>
      <c r="CB984" s="110"/>
      <c r="CC984" s="110"/>
    </row>
    <row r="985" spans="1:81" ht="12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  <c r="AS985" s="110"/>
      <c r="AT985" s="110"/>
      <c r="AU985" s="110"/>
      <c r="AV985" s="110"/>
      <c r="AW985" s="110"/>
      <c r="AX985" s="110"/>
      <c r="AY985" s="110"/>
      <c r="AZ985" s="110"/>
      <c r="BA985" s="110"/>
      <c r="BB985" s="110"/>
      <c r="BC985" s="110"/>
      <c r="BD985" s="110"/>
      <c r="BE985" s="110"/>
      <c r="BF985" s="110"/>
      <c r="BG985" s="110"/>
      <c r="BH985" s="110"/>
      <c r="BI985" s="110"/>
      <c r="BJ985" s="110"/>
      <c r="BK985" s="110"/>
      <c r="BL985" s="110"/>
      <c r="BM985" s="110"/>
      <c r="BN985" s="110"/>
      <c r="BO985" s="110"/>
      <c r="BP985" s="110"/>
      <c r="BQ985" s="110"/>
      <c r="BR985" s="110"/>
      <c r="BS985" s="110"/>
      <c r="BT985" s="110"/>
      <c r="BU985" s="110"/>
      <c r="BV985" s="110"/>
      <c r="BW985" s="110"/>
      <c r="BX985" s="110"/>
      <c r="BY985" s="110"/>
      <c r="BZ985" s="110"/>
      <c r="CA985" s="110"/>
      <c r="CB985" s="110"/>
      <c r="CC985" s="110"/>
    </row>
    <row r="986" spans="1:81" ht="12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  <c r="AS986" s="110"/>
      <c r="AT986" s="110"/>
      <c r="AU986" s="110"/>
      <c r="AV986" s="110"/>
      <c r="AW986" s="110"/>
      <c r="AX986" s="110"/>
      <c r="AY986" s="110"/>
      <c r="AZ986" s="110"/>
      <c r="BA986" s="110"/>
      <c r="BB986" s="110"/>
      <c r="BC986" s="110"/>
      <c r="BD986" s="110"/>
      <c r="BE986" s="110"/>
      <c r="BF986" s="110"/>
      <c r="BG986" s="110"/>
      <c r="BH986" s="110"/>
      <c r="BI986" s="110"/>
      <c r="BJ986" s="110"/>
      <c r="BK986" s="110"/>
      <c r="BL986" s="110"/>
      <c r="BM986" s="110"/>
      <c r="BN986" s="110"/>
      <c r="BO986" s="110"/>
      <c r="BP986" s="110"/>
      <c r="BQ986" s="110"/>
      <c r="BR986" s="110"/>
      <c r="BS986" s="110"/>
      <c r="BT986" s="110"/>
      <c r="BU986" s="110"/>
      <c r="BV986" s="110"/>
      <c r="BW986" s="110"/>
      <c r="BX986" s="110"/>
      <c r="BY986" s="110"/>
      <c r="BZ986" s="110"/>
      <c r="CA986" s="110"/>
      <c r="CB986" s="110"/>
      <c r="CC986" s="110"/>
    </row>
    <row r="987" spans="1:81" ht="12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  <c r="AU987" s="110"/>
      <c r="AV987" s="110"/>
      <c r="AW987" s="110"/>
      <c r="AX987" s="110"/>
      <c r="AY987" s="110"/>
      <c r="AZ987" s="110"/>
      <c r="BA987" s="110"/>
      <c r="BB987" s="110"/>
      <c r="BC987" s="110"/>
      <c r="BD987" s="110"/>
      <c r="BE987" s="110"/>
      <c r="BF987" s="110"/>
      <c r="BG987" s="110"/>
      <c r="BH987" s="110"/>
      <c r="BI987" s="110"/>
      <c r="BJ987" s="110"/>
      <c r="BK987" s="110"/>
      <c r="BL987" s="110"/>
      <c r="BM987" s="110"/>
      <c r="BN987" s="110"/>
      <c r="BO987" s="110"/>
      <c r="BP987" s="110"/>
      <c r="BQ987" s="110"/>
      <c r="BR987" s="110"/>
      <c r="BS987" s="110"/>
      <c r="BT987" s="110"/>
      <c r="BU987" s="110"/>
      <c r="BV987" s="110"/>
      <c r="BW987" s="110"/>
      <c r="BX987" s="110"/>
      <c r="BY987" s="110"/>
      <c r="BZ987" s="110"/>
      <c r="CA987" s="110"/>
      <c r="CB987" s="110"/>
      <c r="CC987" s="110"/>
    </row>
    <row r="988" spans="1:81" ht="12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  <c r="AU988" s="110"/>
      <c r="AV988" s="110"/>
      <c r="AW988" s="110"/>
      <c r="AX988" s="110"/>
      <c r="AY988" s="110"/>
      <c r="AZ988" s="110"/>
      <c r="BA988" s="110"/>
      <c r="BB988" s="110"/>
      <c r="BC988" s="110"/>
      <c r="BD988" s="110"/>
      <c r="BE988" s="110"/>
      <c r="BF988" s="110"/>
      <c r="BG988" s="110"/>
      <c r="BH988" s="110"/>
      <c r="BI988" s="110"/>
      <c r="BJ988" s="110"/>
      <c r="BK988" s="110"/>
      <c r="BL988" s="110"/>
      <c r="BM988" s="110"/>
      <c r="BN988" s="110"/>
      <c r="BO988" s="110"/>
      <c r="BP988" s="110"/>
      <c r="BQ988" s="110"/>
      <c r="BR988" s="110"/>
      <c r="BS988" s="110"/>
      <c r="BT988" s="110"/>
      <c r="BU988" s="110"/>
      <c r="BV988" s="110"/>
      <c r="BW988" s="110"/>
      <c r="BX988" s="110"/>
      <c r="BY988" s="110"/>
      <c r="BZ988" s="110"/>
      <c r="CA988" s="110"/>
      <c r="CB988" s="110"/>
      <c r="CC988" s="110"/>
    </row>
    <row r="989" spans="1:81" ht="12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  <c r="AU989" s="110"/>
      <c r="AV989" s="110"/>
      <c r="AW989" s="110"/>
      <c r="AX989" s="110"/>
      <c r="AY989" s="110"/>
      <c r="AZ989" s="110"/>
      <c r="BA989" s="110"/>
      <c r="BB989" s="110"/>
      <c r="BC989" s="110"/>
      <c r="BD989" s="110"/>
      <c r="BE989" s="110"/>
      <c r="BF989" s="110"/>
      <c r="BG989" s="110"/>
      <c r="BH989" s="110"/>
      <c r="BI989" s="110"/>
      <c r="BJ989" s="110"/>
      <c r="BK989" s="110"/>
      <c r="BL989" s="110"/>
      <c r="BM989" s="110"/>
      <c r="BN989" s="110"/>
      <c r="BO989" s="110"/>
      <c r="BP989" s="110"/>
      <c r="BQ989" s="110"/>
      <c r="BR989" s="110"/>
      <c r="BS989" s="110"/>
      <c r="BT989" s="110"/>
      <c r="BU989" s="110"/>
      <c r="BV989" s="110"/>
      <c r="BW989" s="110"/>
      <c r="BX989" s="110"/>
      <c r="BY989" s="110"/>
      <c r="BZ989" s="110"/>
      <c r="CA989" s="110"/>
      <c r="CB989" s="110"/>
      <c r="CC989" s="110"/>
    </row>
    <row r="990" spans="1:81" ht="12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  <c r="AU990" s="110"/>
      <c r="AV990" s="110"/>
      <c r="AW990" s="110"/>
      <c r="AX990" s="110"/>
      <c r="AY990" s="110"/>
      <c r="AZ990" s="110"/>
      <c r="BA990" s="110"/>
      <c r="BB990" s="110"/>
      <c r="BC990" s="110"/>
      <c r="BD990" s="110"/>
      <c r="BE990" s="110"/>
      <c r="BF990" s="110"/>
      <c r="BG990" s="110"/>
      <c r="BH990" s="110"/>
      <c r="BI990" s="110"/>
      <c r="BJ990" s="110"/>
      <c r="BK990" s="110"/>
      <c r="BL990" s="110"/>
      <c r="BM990" s="110"/>
      <c r="BN990" s="110"/>
      <c r="BO990" s="110"/>
      <c r="BP990" s="110"/>
      <c r="BQ990" s="110"/>
      <c r="BR990" s="110"/>
      <c r="BS990" s="110"/>
      <c r="BT990" s="110"/>
      <c r="BU990" s="110"/>
      <c r="BV990" s="110"/>
      <c r="BW990" s="110"/>
      <c r="BX990" s="110"/>
      <c r="BY990" s="110"/>
      <c r="BZ990" s="110"/>
      <c r="CA990" s="110"/>
      <c r="CB990" s="110"/>
      <c r="CC990" s="110"/>
    </row>
    <row r="991" spans="1:81" ht="12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  <c r="AV991" s="110"/>
      <c r="AW991" s="110"/>
      <c r="AX991" s="110"/>
      <c r="AY991" s="110"/>
      <c r="AZ991" s="110"/>
      <c r="BA991" s="110"/>
      <c r="BB991" s="110"/>
      <c r="BC991" s="110"/>
      <c r="BD991" s="110"/>
      <c r="BE991" s="110"/>
      <c r="BF991" s="110"/>
      <c r="BG991" s="110"/>
      <c r="BH991" s="110"/>
      <c r="BI991" s="110"/>
      <c r="BJ991" s="110"/>
      <c r="BK991" s="110"/>
      <c r="BL991" s="110"/>
      <c r="BM991" s="110"/>
      <c r="BN991" s="110"/>
      <c r="BO991" s="110"/>
      <c r="BP991" s="110"/>
      <c r="BQ991" s="110"/>
      <c r="BR991" s="110"/>
      <c r="BS991" s="110"/>
      <c r="BT991" s="110"/>
      <c r="BU991" s="110"/>
      <c r="BV991" s="110"/>
      <c r="BW991" s="110"/>
      <c r="BX991" s="110"/>
      <c r="BY991" s="110"/>
      <c r="BZ991" s="110"/>
      <c r="CA991" s="110"/>
      <c r="CB991" s="110"/>
      <c r="CC991" s="110"/>
    </row>
    <row r="992" spans="1:81" ht="12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  <c r="AU992" s="110"/>
      <c r="AV992" s="110"/>
      <c r="AW992" s="110"/>
      <c r="AX992" s="110"/>
      <c r="AY992" s="110"/>
      <c r="AZ992" s="110"/>
      <c r="BA992" s="110"/>
      <c r="BB992" s="110"/>
      <c r="BC992" s="110"/>
      <c r="BD992" s="110"/>
      <c r="BE992" s="110"/>
      <c r="BF992" s="110"/>
      <c r="BG992" s="110"/>
      <c r="BH992" s="110"/>
      <c r="BI992" s="110"/>
      <c r="BJ992" s="110"/>
      <c r="BK992" s="110"/>
      <c r="BL992" s="110"/>
      <c r="BM992" s="110"/>
      <c r="BN992" s="110"/>
      <c r="BO992" s="110"/>
      <c r="BP992" s="110"/>
      <c r="BQ992" s="110"/>
      <c r="BR992" s="110"/>
      <c r="BS992" s="110"/>
      <c r="BT992" s="110"/>
      <c r="BU992" s="110"/>
      <c r="BV992" s="110"/>
      <c r="BW992" s="110"/>
      <c r="BX992" s="110"/>
      <c r="BY992" s="110"/>
      <c r="BZ992" s="110"/>
      <c r="CA992" s="110"/>
      <c r="CB992" s="110"/>
      <c r="CC992" s="110"/>
    </row>
    <row r="993" spans="1:81" ht="12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  <c r="AU993" s="110"/>
      <c r="AV993" s="110"/>
      <c r="AW993" s="110"/>
      <c r="AX993" s="110"/>
      <c r="AY993" s="110"/>
      <c r="AZ993" s="110"/>
      <c r="BA993" s="110"/>
      <c r="BB993" s="110"/>
      <c r="BC993" s="110"/>
      <c r="BD993" s="110"/>
      <c r="BE993" s="110"/>
      <c r="BF993" s="110"/>
      <c r="BG993" s="110"/>
      <c r="BH993" s="110"/>
      <c r="BI993" s="110"/>
      <c r="BJ993" s="110"/>
      <c r="BK993" s="110"/>
      <c r="BL993" s="110"/>
      <c r="BM993" s="110"/>
      <c r="BN993" s="110"/>
      <c r="BO993" s="110"/>
      <c r="BP993" s="110"/>
      <c r="BQ993" s="110"/>
      <c r="BR993" s="110"/>
      <c r="BS993" s="110"/>
      <c r="BT993" s="110"/>
      <c r="BU993" s="110"/>
      <c r="BV993" s="110"/>
      <c r="BW993" s="110"/>
      <c r="BX993" s="110"/>
      <c r="BY993" s="110"/>
      <c r="BZ993" s="110"/>
      <c r="CA993" s="110"/>
      <c r="CB993" s="110"/>
      <c r="CC993" s="110"/>
    </row>
    <row r="994" spans="1:81" ht="12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  <c r="AU994" s="110"/>
      <c r="AV994" s="110"/>
      <c r="AW994" s="110"/>
      <c r="AX994" s="110"/>
      <c r="AY994" s="110"/>
      <c r="AZ994" s="110"/>
      <c r="BA994" s="110"/>
      <c r="BB994" s="110"/>
      <c r="BC994" s="110"/>
      <c r="BD994" s="110"/>
      <c r="BE994" s="110"/>
      <c r="BF994" s="110"/>
      <c r="BG994" s="110"/>
      <c r="BH994" s="110"/>
      <c r="BI994" s="110"/>
      <c r="BJ994" s="110"/>
      <c r="BK994" s="110"/>
      <c r="BL994" s="110"/>
      <c r="BM994" s="110"/>
      <c r="BN994" s="110"/>
      <c r="BO994" s="110"/>
      <c r="BP994" s="110"/>
      <c r="BQ994" s="110"/>
      <c r="BR994" s="110"/>
      <c r="BS994" s="110"/>
      <c r="BT994" s="110"/>
      <c r="BU994" s="110"/>
      <c r="BV994" s="110"/>
      <c r="BW994" s="110"/>
      <c r="BX994" s="110"/>
      <c r="BY994" s="110"/>
      <c r="BZ994" s="110"/>
      <c r="CA994" s="110"/>
      <c r="CB994" s="110"/>
      <c r="CC994" s="110"/>
    </row>
    <row r="995" spans="1:81" ht="12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  <c r="AU995" s="110"/>
      <c r="AV995" s="110"/>
      <c r="AW995" s="110"/>
      <c r="AX995" s="110"/>
      <c r="AY995" s="110"/>
      <c r="AZ995" s="110"/>
      <c r="BA995" s="110"/>
      <c r="BB995" s="110"/>
      <c r="BC995" s="110"/>
      <c r="BD995" s="110"/>
      <c r="BE995" s="110"/>
      <c r="BF995" s="110"/>
      <c r="BG995" s="110"/>
      <c r="BH995" s="110"/>
      <c r="BI995" s="110"/>
      <c r="BJ995" s="110"/>
      <c r="BK995" s="110"/>
      <c r="BL995" s="110"/>
      <c r="BM995" s="110"/>
      <c r="BN995" s="110"/>
      <c r="BO995" s="110"/>
      <c r="BP995" s="110"/>
      <c r="BQ995" s="110"/>
      <c r="BR995" s="110"/>
      <c r="BS995" s="110"/>
      <c r="BT995" s="110"/>
      <c r="BU995" s="110"/>
      <c r="BV995" s="110"/>
      <c r="BW995" s="110"/>
      <c r="BX995" s="110"/>
      <c r="BY995" s="110"/>
      <c r="BZ995" s="110"/>
      <c r="CA995" s="110"/>
      <c r="CB995" s="110"/>
      <c r="CC995" s="110"/>
    </row>
    <row r="996" spans="1:81" ht="12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  <c r="AU996" s="110"/>
      <c r="AV996" s="110"/>
      <c r="AW996" s="110"/>
      <c r="AX996" s="110"/>
      <c r="AY996" s="110"/>
      <c r="AZ996" s="110"/>
      <c r="BA996" s="110"/>
      <c r="BB996" s="110"/>
      <c r="BC996" s="110"/>
      <c r="BD996" s="110"/>
      <c r="BE996" s="110"/>
      <c r="BF996" s="110"/>
      <c r="BG996" s="110"/>
      <c r="BH996" s="110"/>
      <c r="BI996" s="110"/>
      <c r="BJ996" s="110"/>
      <c r="BK996" s="110"/>
      <c r="BL996" s="110"/>
      <c r="BM996" s="110"/>
      <c r="BN996" s="110"/>
      <c r="BO996" s="110"/>
      <c r="BP996" s="110"/>
      <c r="BQ996" s="110"/>
      <c r="BR996" s="110"/>
      <c r="BS996" s="110"/>
      <c r="BT996" s="110"/>
      <c r="BU996" s="110"/>
      <c r="BV996" s="110"/>
      <c r="BW996" s="110"/>
      <c r="BX996" s="110"/>
      <c r="BY996" s="110"/>
      <c r="BZ996" s="110"/>
      <c r="CA996" s="110"/>
      <c r="CB996" s="110"/>
      <c r="CC996" s="110"/>
    </row>
    <row r="997" spans="1:81" ht="12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  <c r="AU997" s="110"/>
      <c r="AV997" s="110"/>
      <c r="AW997" s="110"/>
      <c r="AX997" s="110"/>
      <c r="AY997" s="110"/>
      <c r="AZ997" s="110"/>
      <c r="BA997" s="110"/>
      <c r="BB997" s="110"/>
      <c r="BC997" s="110"/>
      <c r="BD997" s="110"/>
      <c r="BE997" s="110"/>
      <c r="BF997" s="110"/>
      <c r="BG997" s="110"/>
      <c r="BH997" s="110"/>
      <c r="BI997" s="110"/>
      <c r="BJ997" s="110"/>
      <c r="BK997" s="110"/>
      <c r="BL997" s="110"/>
      <c r="BM997" s="110"/>
      <c r="BN997" s="110"/>
      <c r="BO997" s="110"/>
      <c r="BP997" s="110"/>
      <c r="BQ997" s="110"/>
      <c r="BR997" s="110"/>
      <c r="BS997" s="110"/>
      <c r="BT997" s="110"/>
      <c r="BU997" s="110"/>
      <c r="BV997" s="110"/>
      <c r="BW997" s="110"/>
      <c r="BX997" s="110"/>
      <c r="BY997" s="110"/>
      <c r="BZ997" s="110"/>
      <c r="CA997" s="110"/>
      <c r="CB997" s="110"/>
      <c r="CC997" s="110"/>
    </row>
    <row r="998" spans="1:81" ht="12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  <c r="AU998" s="110"/>
      <c r="AV998" s="110"/>
      <c r="AW998" s="110"/>
      <c r="AX998" s="110"/>
      <c r="AY998" s="110"/>
      <c r="AZ998" s="110"/>
      <c r="BA998" s="110"/>
      <c r="BB998" s="110"/>
      <c r="BC998" s="110"/>
      <c r="BD998" s="110"/>
      <c r="BE998" s="110"/>
      <c r="BF998" s="110"/>
      <c r="BG998" s="110"/>
      <c r="BH998" s="110"/>
      <c r="BI998" s="110"/>
      <c r="BJ998" s="110"/>
      <c r="BK998" s="110"/>
      <c r="BL998" s="110"/>
      <c r="BM998" s="110"/>
      <c r="BN998" s="110"/>
      <c r="BO998" s="110"/>
      <c r="BP998" s="110"/>
      <c r="BQ998" s="110"/>
      <c r="BR998" s="110"/>
      <c r="BS998" s="110"/>
      <c r="BT998" s="110"/>
      <c r="BU998" s="110"/>
      <c r="BV998" s="110"/>
      <c r="BW998" s="110"/>
      <c r="BX998" s="110"/>
      <c r="BY998" s="110"/>
      <c r="BZ998" s="110"/>
      <c r="CA998" s="110"/>
      <c r="CB998" s="110"/>
      <c r="CC998" s="110"/>
    </row>
    <row r="999" spans="1:81" ht="12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  <c r="AU999" s="110"/>
      <c r="AV999" s="110"/>
      <c r="AW999" s="110"/>
      <c r="AX999" s="110"/>
      <c r="AY999" s="110"/>
      <c r="AZ999" s="110"/>
      <c r="BA999" s="110"/>
      <c r="BB999" s="110"/>
      <c r="BC999" s="110"/>
      <c r="BD999" s="110"/>
      <c r="BE999" s="110"/>
      <c r="BF999" s="110"/>
      <c r="BG999" s="110"/>
      <c r="BH999" s="110"/>
      <c r="BI999" s="110"/>
      <c r="BJ999" s="110"/>
      <c r="BK999" s="110"/>
      <c r="BL999" s="110"/>
      <c r="BM999" s="110"/>
      <c r="BN999" s="110"/>
      <c r="BO999" s="110"/>
      <c r="BP999" s="110"/>
      <c r="BQ999" s="110"/>
      <c r="BR999" s="110"/>
      <c r="BS999" s="110"/>
      <c r="BT999" s="110"/>
      <c r="BU999" s="110"/>
      <c r="BV999" s="110"/>
      <c r="BW999" s="110"/>
      <c r="BX999" s="110"/>
      <c r="BY999" s="110"/>
      <c r="BZ999" s="110"/>
      <c r="CA999" s="110"/>
      <c r="CB999" s="110"/>
      <c r="CC999" s="110"/>
    </row>
    <row r="1000" spans="1:81" ht="12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  <c r="AU1000" s="110"/>
      <c r="AV1000" s="110"/>
      <c r="AW1000" s="110"/>
      <c r="AX1000" s="110"/>
      <c r="AY1000" s="110"/>
      <c r="AZ1000" s="110"/>
      <c r="BA1000" s="110"/>
      <c r="BB1000" s="110"/>
      <c r="BC1000" s="110"/>
      <c r="BD1000" s="110"/>
      <c r="BE1000" s="110"/>
      <c r="BF1000" s="110"/>
      <c r="BG1000" s="110"/>
      <c r="BH1000" s="110"/>
      <c r="BI1000" s="110"/>
      <c r="BJ1000" s="110"/>
      <c r="BK1000" s="110"/>
      <c r="BL1000" s="110"/>
      <c r="BM1000" s="110"/>
      <c r="BN1000" s="110"/>
      <c r="BO1000" s="110"/>
      <c r="BP1000" s="110"/>
      <c r="BQ1000" s="110"/>
      <c r="BR1000" s="110"/>
      <c r="BS1000" s="110"/>
      <c r="BT1000" s="110"/>
      <c r="BU1000" s="110"/>
      <c r="BV1000" s="110"/>
      <c r="BW1000" s="110"/>
      <c r="BX1000" s="110"/>
      <c r="BY1000" s="110"/>
      <c r="BZ1000" s="110"/>
      <c r="CA1000" s="110"/>
      <c r="CB1000" s="110"/>
      <c r="CC1000" s="110"/>
    </row>
  </sheetData>
  <pageMargins left="0.70866141732283472" right="0.70866141732283472" top="0.74803149606299213" bottom="0.74803149606299213" header="0" footer="0"/>
  <pageSetup paperSize="9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C1000"/>
  <sheetViews>
    <sheetView topLeftCell="A15" zoomScale="57" zoomScaleNormal="57" workbookViewId="0">
      <selection activeCell="S48" sqref="S48"/>
    </sheetView>
  </sheetViews>
  <sheetFormatPr defaultColWidth="14.42578125" defaultRowHeight="15" customHeight="1"/>
  <cols>
    <col min="1" max="1" width="39.5703125" customWidth="1"/>
    <col min="2" max="2" width="20.7109375" customWidth="1"/>
    <col min="3" max="3" width="52.42578125" customWidth="1"/>
    <col min="4" max="6" width="20.7109375" customWidth="1"/>
    <col min="7" max="61" width="19.85546875" customWidth="1"/>
    <col min="62" max="81" width="18.42578125" customWidth="1"/>
  </cols>
  <sheetData>
    <row r="1" spans="1:81" ht="18">
      <c r="A1" s="215" t="s">
        <v>151</v>
      </c>
      <c r="B1" s="216"/>
      <c r="C1" s="217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</row>
    <row r="2" spans="1:81">
      <c r="A2" s="6" t="str">
        <f>CONCATENATE(Company, ": ",start, " -  ",end)</f>
        <v>Histyle: Mês 1 -  Mês 60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</row>
    <row r="3" spans="1:81" hidden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</row>
    <row r="4" spans="1:81" ht="15.75">
      <c r="A4" s="161" t="s">
        <v>152</v>
      </c>
      <c r="B4" s="162">
        <v>1</v>
      </c>
      <c r="C4" s="162">
        <v>2</v>
      </c>
      <c r="D4" s="162">
        <v>3</v>
      </c>
      <c r="E4" s="162">
        <v>4</v>
      </c>
      <c r="F4" s="162">
        <v>5</v>
      </c>
      <c r="G4" s="162">
        <v>6</v>
      </c>
      <c r="H4" s="162">
        <v>7</v>
      </c>
      <c r="I4" s="162">
        <v>8</v>
      </c>
      <c r="J4" s="162">
        <v>9</v>
      </c>
      <c r="K4" s="162">
        <v>10</v>
      </c>
      <c r="L4" s="162">
        <v>11</v>
      </c>
      <c r="M4" s="162">
        <v>12</v>
      </c>
      <c r="N4" s="162">
        <v>13</v>
      </c>
      <c r="O4" s="162">
        <v>14</v>
      </c>
      <c r="P4" s="162">
        <v>15</v>
      </c>
      <c r="Q4" s="162">
        <v>16</v>
      </c>
      <c r="R4" s="162">
        <v>17</v>
      </c>
      <c r="S4" s="162">
        <v>18</v>
      </c>
      <c r="T4" s="162">
        <v>19</v>
      </c>
      <c r="U4" s="162">
        <v>20</v>
      </c>
      <c r="V4" s="162">
        <v>21</v>
      </c>
      <c r="W4" s="162">
        <v>22</v>
      </c>
      <c r="X4" s="162">
        <v>23</v>
      </c>
      <c r="Y4" s="162">
        <v>24</v>
      </c>
      <c r="Z4" s="162">
        <v>25</v>
      </c>
      <c r="AA4" s="162">
        <v>26</v>
      </c>
      <c r="AB4" s="162">
        <v>27</v>
      </c>
      <c r="AC4" s="162">
        <v>28</v>
      </c>
      <c r="AD4" s="162">
        <v>29</v>
      </c>
      <c r="AE4" s="162">
        <v>30</v>
      </c>
      <c r="AF4" s="162">
        <v>31</v>
      </c>
      <c r="AG4" s="162">
        <v>32</v>
      </c>
      <c r="AH4" s="162">
        <v>33</v>
      </c>
      <c r="AI4" s="162">
        <v>34</v>
      </c>
      <c r="AJ4" s="162">
        <v>35</v>
      </c>
      <c r="AK4" s="162">
        <v>36</v>
      </c>
      <c r="AL4" s="162">
        <v>37</v>
      </c>
      <c r="AM4" s="162">
        <v>38</v>
      </c>
      <c r="AN4" s="162">
        <v>39</v>
      </c>
      <c r="AO4" s="162">
        <v>40</v>
      </c>
      <c r="AP4" s="162">
        <v>41</v>
      </c>
      <c r="AQ4" s="162">
        <v>42</v>
      </c>
      <c r="AR4" s="162">
        <v>43</v>
      </c>
      <c r="AS4" s="162">
        <v>44</v>
      </c>
      <c r="AT4" s="162">
        <v>45</v>
      </c>
      <c r="AU4" s="162">
        <v>46</v>
      </c>
      <c r="AV4" s="162">
        <v>47</v>
      </c>
      <c r="AW4" s="162">
        <v>48</v>
      </c>
      <c r="AX4" s="162">
        <v>49</v>
      </c>
      <c r="AY4" s="162">
        <v>50</v>
      </c>
      <c r="AZ4" s="162">
        <v>51</v>
      </c>
      <c r="BA4" s="162">
        <v>52</v>
      </c>
      <c r="BB4" s="162">
        <v>53</v>
      </c>
      <c r="BC4" s="162">
        <v>54</v>
      </c>
      <c r="BD4" s="162">
        <v>55</v>
      </c>
      <c r="BE4" s="162">
        <v>56</v>
      </c>
      <c r="BF4" s="162">
        <v>57</v>
      </c>
      <c r="BG4" s="162">
        <v>58</v>
      </c>
      <c r="BH4" s="162">
        <v>59</v>
      </c>
      <c r="BI4" s="162">
        <v>60</v>
      </c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163"/>
      <c r="BW4" s="163"/>
      <c r="BX4" s="163"/>
      <c r="BY4" s="163"/>
      <c r="BZ4" s="163"/>
      <c r="CA4" s="163"/>
      <c r="CB4" s="163"/>
      <c r="CC4" s="163"/>
    </row>
    <row r="5" spans="1:81">
      <c r="A5" s="164" t="s">
        <v>153</v>
      </c>
      <c r="B5" s="165">
        <f>Receita!B13</f>
        <v>0</v>
      </c>
      <c r="C5" s="165">
        <f>Receita!C13</f>
        <v>0</v>
      </c>
      <c r="D5" s="165">
        <f>Receita!D13</f>
        <v>0</v>
      </c>
      <c r="E5" s="165">
        <f>Receita!E13</f>
        <v>0</v>
      </c>
      <c r="F5" s="165">
        <f>Receita!F13</f>
        <v>0</v>
      </c>
      <c r="G5" s="165">
        <f>Receita!G13</f>
        <v>0</v>
      </c>
      <c r="H5" s="165">
        <f>Receita!H13</f>
        <v>0</v>
      </c>
      <c r="I5" s="165">
        <f>Receita!I13</f>
        <v>0</v>
      </c>
      <c r="J5" s="165">
        <f>Receita!J13</f>
        <v>0</v>
      </c>
      <c r="K5" s="165">
        <f>Receita!K13</f>
        <v>0</v>
      </c>
      <c r="L5" s="165">
        <f>Receita!L13</f>
        <v>0</v>
      </c>
      <c r="M5" s="165">
        <f>Receita!M13</f>
        <v>0</v>
      </c>
      <c r="N5" s="165">
        <f>Receita!N13</f>
        <v>937.5</v>
      </c>
      <c r="O5" s="165">
        <f>Receita!O13</f>
        <v>937.5</v>
      </c>
      <c r="P5" s="165">
        <f>Receita!P13</f>
        <v>937.5</v>
      </c>
      <c r="Q5" s="165">
        <f>Receita!Q13</f>
        <v>937.5</v>
      </c>
      <c r="R5" s="165">
        <f>Receita!R13</f>
        <v>937.5</v>
      </c>
      <c r="S5" s="165">
        <f>Receita!S13</f>
        <v>937.5</v>
      </c>
      <c r="T5" s="165">
        <f>Receita!T13</f>
        <v>937.5</v>
      </c>
      <c r="U5" s="165">
        <f>Receita!U13</f>
        <v>937.5</v>
      </c>
      <c r="V5" s="165">
        <f>Receita!V13</f>
        <v>937.5</v>
      </c>
      <c r="W5" s="165">
        <f>Receita!W13</f>
        <v>937.5</v>
      </c>
      <c r="X5" s="165">
        <f>Receita!X13</f>
        <v>937.5</v>
      </c>
      <c r="Y5" s="165">
        <f>Receita!Y13</f>
        <v>937.5</v>
      </c>
      <c r="Z5" s="165">
        <f>Receita!Z13</f>
        <v>625</v>
      </c>
      <c r="AA5" s="165">
        <f>Receita!AA13</f>
        <v>625</v>
      </c>
      <c r="AB5" s="165">
        <f>Receita!AB13</f>
        <v>625</v>
      </c>
      <c r="AC5" s="165">
        <f>Receita!AC13</f>
        <v>625</v>
      </c>
      <c r="AD5" s="165">
        <f>Receita!AD13</f>
        <v>625</v>
      </c>
      <c r="AE5" s="165">
        <f>Receita!AE13</f>
        <v>625</v>
      </c>
      <c r="AF5" s="165">
        <f>Receita!AF13</f>
        <v>625</v>
      </c>
      <c r="AG5" s="165">
        <f>Receita!AG13</f>
        <v>625</v>
      </c>
      <c r="AH5" s="165">
        <f>Receita!AH13</f>
        <v>625</v>
      </c>
      <c r="AI5" s="165">
        <f>Receita!AI13</f>
        <v>625</v>
      </c>
      <c r="AJ5" s="165">
        <f>Receita!AJ13</f>
        <v>625</v>
      </c>
      <c r="AK5" s="165">
        <f>Receita!AK13</f>
        <v>625</v>
      </c>
      <c r="AL5" s="165">
        <f>Receita!AL13</f>
        <v>3437.5</v>
      </c>
      <c r="AM5" s="165">
        <f>Receita!AM13</f>
        <v>3437.5</v>
      </c>
      <c r="AN5" s="165">
        <f>Receita!AN13</f>
        <v>3437.5</v>
      </c>
      <c r="AO5" s="165">
        <f>Receita!AO13</f>
        <v>3437.5</v>
      </c>
      <c r="AP5" s="165">
        <f>Receita!AP13</f>
        <v>3437.5</v>
      </c>
      <c r="AQ5" s="165">
        <f>Receita!AQ13</f>
        <v>3437.5</v>
      </c>
      <c r="AR5" s="165">
        <f>Receita!AR13</f>
        <v>3437.5</v>
      </c>
      <c r="AS5" s="165">
        <f>Receita!AS13</f>
        <v>3437.5</v>
      </c>
      <c r="AT5" s="165">
        <f>Receita!AT13</f>
        <v>3437.5</v>
      </c>
      <c r="AU5" s="165">
        <f>Receita!AU13</f>
        <v>3437.5</v>
      </c>
      <c r="AV5" s="165">
        <f>Receita!AV13</f>
        <v>3437.5</v>
      </c>
      <c r="AW5" s="165">
        <f>Receita!AW13</f>
        <v>3437.5</v>
      </c>
      <c r="AX5" s="165">
        <f>Receita!AX13</f>
        <v>2312.5</v>
      </c>
      <c r="AY5" s="165">
        <f>Receita!AY13</f>
        <v>2312.5</v>
      </c>
      <c r="AZ5" s="165">
        <f>Receita!AZ13</f>
        <v>2312.5</v>
      </c>
      <c r="BA5" s="165">
        <f>Receita!BA13</f>
        <v>2312.5</v>
      </c>
      <c r="BB5" s="165">
        <f>Receita!BB13</f>
        <v>2312.5</v>
      </c>
      <c r="BC5" s="165">
        <f>Receita!BC13</f>
        <v>2312.5</v>
      </c>
      <c r="BD5" s="165">
        <f>Receita!BD13</f>
        <v>2312.5</v>
      </c>
      <c r="BE5" s="165">
        <f>Receita!BE13</f>
        <v>2312.5</v>
      </c>
      <c r="BF5" s="165">
        <f>Receita!BF13</f>
        <v>2312.5</v>
      </c>
      <c r="BG5" s="165">
        <f>Receita!BG13</f>
        <v>2312.5</v>
      </c>
      <c r="BH5" s="165">
        <f>Receita!BH13</f>
        <v>2312.5</v>
      </c>
      <c r="BI5" s="165">
        <f>Receita!BI13</f>
        <v>2312.5</v>
      </c>
      <c r="BJ5" s="166"/>
      <c r="BK5" s="166"/>
      <c r="BL5" s="166"/>
      <c r="BM5" s="166"/>
      <c r="BN5" s="166"/>
      <c r="BO5" s="166"/>
      <c r="BP5" s="166"/>
      <c r="BQ5" s="166"/>
      <c r="BR5" s="166"/>
      <c r="BS5" s="166"/>
      <c r="BT5" s="166"/>
      <c r="BU5" s="166"/>
      <c r="BV5" s="166"/>
      <c r="BW5" s="166"/>
      <c r="BX5" s="166"/>
      <c r="BY5" s="166"/>
      <c r="BZ5" s="166"/>
      <c r="CA5" s="166"/>
      <c r="CB5" s="166"/>
      <c r="CC5" s="166"/>
    </row>
    <row r="6" spans="1:81">
      <c r="A6" s="164" t="s">
        <v>154</v>
      </c>
      <c r="B6" s="165">
        <f>Receita!B5</f>
        <v>4875</v>
      </c>
      <c r="C6" s="165">
        <f>Receita!C5</f>
        <v>4875</v>
      </c>
      <c r="D6" s="165">
        <f>Receita!D5</f>
        <v>4875</v>
      </c>
      <c r="E6" s="165">
        <f>Receita!E5</f>
        <v>4875</v>
      </c>
      <c r="F6" s="165">
        <f>Receita!F5</f>
        <v>4875</v>
      </c>
      <c r="G6" s="165">
        <f>Receita!G5</f>
        <v>4875</v>
      </c>
      <c r="H6" s="165">
        <f>Receita!H5</f>
        <v>4875</v>
      </c>
      <c r="I6" s="165">
        <f>Receita!I5</f>
        <v>4875</v>
      </c>
      <c r="J6" s="165">
        <f>Receita!J5</f>
        <v>4875</v>
      </c>
      <c r="K6" s="165">
        <f>Receita!K5</f>
        <v>4875</v>
      </c>
      <c r="L6" s="165">
        <f>Receita!L5</f>
        <v>4875</v>
      </c>
      <c r="M6" s="165">
        <f>Receita!M5</f>
        <v>4875</v>
      </c>
      <c r="N6" s="165">
        <f>Receita!N5</f>
        <v>8125</v>
      </c>
      <c r="O6" s="165">
        <f>Receita!O5</f>
        <v>8125</v>
      </c>
      <c r="P6" s="165">
        <f>Receita!P5</f>
        <v>8125</v>
      </c>
      <c r="Q6" s="165">
        <f>Receita!Q5</f>
        <v>8125</v>
      </c>
      <c r="R6" s="165">
        <f>Receita!R5</f>
        <v>8125</v>
      </c>
      <c r="S6" s="165">
        <f>Receita!S5</f>
        <v>8125</v>
      </c>
      <c r="T6" s="165">
        <f>Receita!T5</f>
        <v>8125</v>
      </c>
      <c r="U6" s="165">
        <f>Receita!U5</f>
        <v>8125</v>
      </c>
      <c r="V6" s="165">
        <f>Receita!V5</f>
        <v>8125</v>
      </c>
      <c r="W6" s="165">
        <f>Receita!W5</f>
        <v>8125</v>
      </c>
      <c r="X6" s="165">
        <f>Receita!X5</f>
        <v>8125</v>
      </c>
      <c r="Y6" s="165">
        <f>Receita!Y5</f>
        <v>5416.6666666666661</v>
      </c>
      <c r="Z6" s="165">
        <f>Receita!Z5</f>
        <v>5416.6666666666661</v>
      </c>
      <c r="AA6" s="165">
        <f>Receita!AA5</f>
        <v>5416.6666666666661</v>
      </c>
      <c r="AB6" s="165">
        <f>Receita!AB5</f>
        <v>5416.6666666666661</v>
      </c>
      <c r="AC6" s="165">
        <f>Receita!AC5</f>
        <v>5416.6666666666661</v>
      </c>
      <c r="AD6" s="165">
        <f>Receita!AD5</f>
        <v>5416.6666666666661</v>
      </c>
      <c r="AE6" s="165">
        <f>Receita!AE5</f>
        <v>5416.6666666666661</v>
      </c>
      <c r="AF6" s="165">
        <f>Receita!AF5</f>
        <v>5416.6666666666661</v>
      </c>
      <c r="AG6" s="165">
        <f>Receita!AG5</f>
        <v>5416.6666666666661</v>
      </c>
      <c r="AH6" s="165">
        <f>Receita!AH5</f>
        <v>5416.6666666666661</v>
      </c>
      <c r="AI6" s="165">
        <f>Receita!AI5</f>
        <v>5416.6666666666661</v>
      </c>
      <c r="AJ6" s="165">
        <f>Receita!AJ5</f>
        <v>5416.6666666666661</v>
      </c>
      <c r="AK6" s="165">
        <f>Receita!AK5</f>
        <v>8125</v>
      </c>
      <c r="AL6" s="165">
        <f>Receita!AL5</f>
        <v>8125</v>
      </c>
      <c r="AM6" s="165">
        <f>Receita!AM5</f>
        <v>8125</v>
      </c>
      <c r="AN6" s="165">
        <f>Receita!AN5</f>
        <v>8125</v>
      </c>
      <c r="AO6" s="165">
        <f>Receita!AO5</f>
        <v>8125</v>
      </c>
      <c r="AP6" s="165">
        <f>Receita!AP5</f>
        <v>8125</v>
      </c>
      <c r="AQ6" s="165">
        <f>Receita!AQ5</f>
        <v>8125</v>
      </c>
      <c r="AR6" s="165">
        <f>Receita!AR5</f>
        <v>8125</v>
      </c>
      <c r="AS6" s="165">
        <f>Receita!AS5</f>
        <v>8125</v>
      </c>
      <c r="AT6" s="165">
        <f>Receita!AT5</f>
        <v>8125</v>
      </c>
      <c r="AU6" s="165">
        <f>Receita!AU5</f>
        <v>8125</v>
      </c>
      <c r="AV6" s="165">
        <f>Receita!AV5</f>
        <v>8125</v>
      </c>
      <c r="AW6" s="165">
        <f>Receita!AW5</f>
        <v>8125</v>
      </c>
      <c r="AX6" s="165">
        <f>Receita!AX5</f>
        <v>6500</v>
      </c>
      <c r="AY6" s="165">
        <f>Receita!AY5</f>
        <v>6500</v>
      </c>
      <c r="AZ6" s="165">
        <f>Receita!AZ5</f>
        <v>6500</v>
      </c>
      <c r="BA6" s="165">
        <f>Receita!BA5</f>
        <v>6500</v>
      </c>
      <c r="BB6" s="165">
        <f>Receita!BB5</f>
        <v>6500</v>
      </c>
      <c r="BC6" s="165">
        <f>Receita!BC5</f>
        <v>6500</v>
      </c>
      <c r="BD6" s="165">
        <f>Receita!BD5</f>
        <v>6500</v>
      </c>
      <c r="BE6" s="165">
        <f>Receita!BE5</f>
        <v>6500</v>
      </c>
      <c r="BF6" s="165">
        <f>Receita!BF5</f>
        <v>6500</v>
      </c>
      <c r="BG6" s="165">
        <f>Receita!BG5</f>
        <v>6500</v>
      </c>
      <c r="BH6" s="165">
        <f>Receita!BH5</f>
        <v>6500</v>
      </c>
      <c r="BI6" s="165">
        <f>Receita!BI5</f>
        <v>6500</v>
      </c>
      <c r="BJ6" s="166"/>
      <c r="BK6" s="166"/>
      <c r="BL6" s="166"/>
      <c r="BM6" s="166"/>
      <c r="BN6" s="166"/>
      <c r="BO6" s="166"/>
      <c r="BP6" s="166"/>
      <c r="BQ6" s="166"/>
      <c r="BR6" s="166"/>
      <c r="BS6" s="166"/>
      <c r="BT6" s="166"/>
      <c r="BU6" s="166"/>
      <c r="BV6" s="166"/>
      <c r="BW6" s="166"/>
      <c r="BX6" s="166"/>
      <c r="BY6" s="166"/>
      <c r="BZ6" s="166"/>
      <c r="CA6" s="166"/>
      <c r="CB6" s="166"/>
      <c r="CC6" s="166"/>
    </row>
    <row r="7" spans="1:81">
      <c r="A7" s="164" t="s">
        <v>155</v>
      </c>
      <c r="B7" s="165">
        <f>Receita!B9</f>
        <v>0</v>
      </c>
      <c r="C7" s="165">
        <f>Receita!C9</f>
        <v>0</v>
      </c>
      <c r="D7" s="165">
        <f>Receita!D9</f>
        <v>0</v>
      </c>
      <c r="E7" s="165">
        <f>Receita!E9</f>
        <v>0</v>
      </c>
      <c r="F7" s="165">
        <f>Receita!F9</f>
        <v>0</v>
      </c>
      <c r="G7" s="165">
        <f>Receita!G9</f>
        <v>0</v>
      </c>
      <c r="H7" s="165">
        <f>Receita!H9</f>
        <v>0</v>
      </c>
      <c r="I7" s="165">
        <f>Receita!I9</f>
        <v>0</v>
      </c>
      <c r="J7" s="165">
        <f>Receita!J9</f>
        <v>0</v>
      </c>
      <c r="K7" s="165">
        <f>Receita!K9</f>
        <v>0</v>
      </c>
      <c r="L7" s="165">
        <f>Receita!L9</f>
        <v>0</v>
      </c>
      <c r="M7" s="165">
        <f>Receita!M9</f>
        <v>0</v>
      </c>
      <c r="N7" s="165">
        <f>Receita!N9</f>
        <v>0</v>
      </c>
      <c r="O7" s="165">
        <f>Receita!O9</f>
        <v>0</v>
      </c>
      <c r="P7" s="165">
        <f>Receita!P9</f>
        <v>0</v>
      </c>
      <c r="Q7" s="165">
        <f>Receita!Q9</f>
        <v>0</v>
      </c>
      <c r="R7" s="165">
        <f>Receita!R9</f>
        <v>0</v>
      </c>
      <c r="S7" s="165">
        <f>Receita!S9</f>
        <v>0</v>
      </c>
      <c r="T7" s="165">
        <f>Receita!T9</f>
        <v>0</v>
      </c>
      <c r="U7" s="165">
        <f>Receita!U9</f>
        <v>0</v>
      </c>
      <c r="V7" s="165">
        <f>Receita!V9</f>
        <v>0</v>
      </c>
      <c r="W7" s="165">
        <f>Receita!W9</f>
        <v>0</v>
      </c>
      <c r="X7" s="165">
        <f>Receita!X9</f>
        <v>0</v>
      </c>
      <c r="Y7" s="165">
        <f>Receita!Y9</f>
        <v>0</v>
      </c>
      <c r="Z7" s="165">
        <f>Receita!Z9</f>
        <v>0</v>
      </c>
      <c r="AA7" s="165">
        <f>Receita!AA9</f>
        <v>0</v>
      </c>
      <c r="AB7" s="165">
        <f>Receita!AB9</f>
        <v>0</v>
      </c>
      <c r="AC7" s="165">
        <f>Receita!AC9</f>
        <v>0</v>
      </c>
      <c r="AD7" s="165">
        <f>Receita!AD9</f>
        <v>0</v>
      </c>
      <c r="AE7" s="165">
        <f>Receita!AE9</f>
        <v>0</v>
      </c>
      <c r="AF7" s="165">
        <f>Receita!AF9</f>
        <v>0</v>
      </c>
      <c r="AG7" s="165">
        <f>Receita!AG9</f>
        <v>0</v>
      </c>
      <c r="AH7" s="165">
        <f>Receita!AH9</f>
        <v>0</v>
      </c>
      <c r="AI7" s="165">
        <f>Receita!AI9</f>
        <v>0</v>
      </c>
      <c r="AJ7" s="165">
        <f>Receita!AJ9</f>
        <v>0</v>
      </c>
      <c r="AK7" s="165">
        <f>Receita!AK9</f>
        <v>0</v>
      </c>
      <c r="AL7" s="165">
        <f>Receita!AL9</f>
        <v>18333.333333333332</v>
      </c>
      <c r="AM7" s="165">
        <f>Receita!AM9</f>
        <v>18333.333333333332</v>
      </c>
      <c r="AN7" s="165">
        <f>Receita!AN9</f>
        <v>18333.333333333332</v>
      </c>
      <c r="AO7" s="165">
        <f>Receita!AO9</f>
        <v>18333.333333333332</v>
      </c>
      <c r="AP7" s="165">
        <f>Receita!AP9</f>
        <v>18333.333333333332</v>
      </c>
      <c r="AQ7" s="165">
        <f>Receita!AQ9</f>
        <v>18333.333333333332</v>
      </c>
      <c r="AR7" s="165">
        <f>Receita!AR9</f>
        <v>18333.333333333332</v>
      </c>
      <c r="AS7" s="165">
        <f>Receita!AS9</f>
        <v>18333.333333333332</v>
      </c>
      <c r="AT7" s="165">
        <f>Receita!AT9</f>
        <v>18333.333333333332</v>
      </c>
      <c r="AU7" s="165">
        <f>Receita!AU9</f>
        <v>18333.333333333332</v>
      </c>
      <c r="AV7" s="165">
        <f>Receita!AV9</f>
        <v>18333.333333333332</v>
      </c>
      <c r="AW7" s="165">
        <f>Receita!AW9</f>
        <v>18333.333333333332</v>
      </c>
      <c r="AX7" s="165">
        <f>Receita!AX9</f>
        <v>11458.333333333334</v>
      </c>
      <c r="AY7" s="165">
        <f>Receita!AY9</f>
        <v>11458.333333333334</v>
      </c>
      <c r="AZ7" s="165">
        <f>Receita!AZ9</f>
        <v>11458.333333333334</v>
      </c>
      <c r="BA7" s="165">
        <f>Receita!BA9</f>
        <v>11458.333333333334</v>
      </c>
      <c r="BB7" s="165">
        <f>Receita!BB9</f>
        <v>11458.333333333334</v>
      </c>
      <c r="BC7" s="165">
        <f>Receita!BC9</f>
        <v>11458.333333333334</v>
      </c>
      <c r="BD7" s="165">
        <f>Receita!BD9</f>
        <v>11458.333333333334</v>
      </c>
      <c r="BE7" s="165">
        <f>Receita!BE9</f>
        <v>11458.333333333334</v>
      </c>
      <c r="BF7" s="165">
        <f>Receita!BF9</f>
        <v>11458.333333333334</v>
      </c>
      <c r="BG7" s="165">
        <f>Receita!BG9</f>
        <v>11458.333333333334</v>
      </c>
      <c r="BH7" s="165">
        <f>Receita!BH9</f>
        <v>11458.333333333334</v>
      </c>
      <c r="BI7" s="165">
        <f>Receita!BI9</f>
        <v>11458.333333333334</v>
      </c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</row>
    <row r="8" spans="1:81" ht="15.75">
      <c r="A8" s="161" t="s">
        <v>156</v>
      </c>
      <c r="B8" s="167">
        <f t="shared" ref="B8:BI8" si="0">SUM(B5:B7)</f>
        <v>4875</v>
      </c>
      <c r="C8" s="167">
        <f t="shared" si="0"/>
        <v>4875</v>
      </c>
      <c r="D8" s="167">
        <f t="shared" si="0"/>
        <v>4875</v>
      </c>
      <c r="E8" s="167">
        <f t="shared" si="0"/>
        <v>4875</v>
      </c>
      <c r="F8" s="167">
        <f t="shared" si="0"/>
        <v>4875</v>
      </c>
      <c r="G8" s="167">
        <f t="shared" si="0"/>
        <v>4875</v>
      </c>
      <c r="H8" s="167">
        <f t="shared" si="0"/>
        <v>4875</v>
      </c>
      <c r="I8" s="167">
        <f t="shared" si="0"/>
        <v>4875</v>
      </c>
      <c r="J8" s="167">
        <f t="shared" si="0"/>
        <v>4875</v>
      </c>
      <c r="K8" s="167">
        <f t="shared" si="0"/>
        <v>4875</v>
      </c>
      <c r="L8" s="167">
        <f t="shared" si="0"/>
        <v>4875</v>
      </c>
      <c r="M8" s="167">
        <f t="shared" si="0"/>
        <v>4875</v>
      </c>
      <c r="N8" s="167">
        <f t="shared" si="0"/>
        <v>9062.5</v>
      </c>
      <c r="O8" s="167">
        <f t="shared" si="0"/>
        <v>9062.5</v>
      </c>
      <c r="P8" s="167">
        <f t="shared" si="0"/>
        <v>9062.5</v>
      </c>
      <c r="Q8" s="167">
        <f t="shared" si="0"/>
        <v>9062.5</v>
      </c>
      <c r="R8" s="167">
        <f t="shared" si="0"/>
        <v>9062.5</v>
      </c>
      <c r="S8" s="167">
        <f t="shared" si="0"/>
        <v>9062.5</v>
      </c>
      <c r="T8" s="167">
        <f t="shared" si="0"/>
        <v>9062.5</v>
      </c>
      <c r="U8" s="167">
        <f t="shared" si="0"/>
        <v>9062.5</v>
      </c>
      <c r="V8" s="167">
        <f t="shared" si="0"/>
        <v>9062.5</v>
      </c>
      <c r="W8" s="167">
        <f t="shared" si="0"/>
        <v>9062.5</v>
      </c>
      <c r="X8" s="167">
        <f t="shared" si="0"/>
        <v>9062.5</v>
      </c>
      <c r="Y8" s="167">
        <f t="shared" si="0"/>
        <v>6354.1666666666661</v>
      </c>
      <c r="Z8" s="167">
        <f t="shared" si="0"/>
        <v>6041.6666666666661</v>
      </c>
      <c r="AA8" s="167">
        <f t="shared" si="0"/>
        <v>6041.6666666666661</v>
      </c>
      <c r="AB8" s="167">
        <f t="shared" si="0"/>
        <v>6041.6666666666661</v>
      </c>
      <c r="AC8" s="167">
        <f t="shared" si="0"/>
        <v>6041.6666666666661</v>
      </c>
      <c r="AD8" s="167">
        <f t="shared" si="0"/>
        <v>6041.6666666666661</v>
      </c>
      <c r="AE8" s="167">
        <f t="shared" si="0"/>
        <v>6041.6666666666661</v>
      </c>
      <c r="AF8" s="167">
        <f t="shared" si="0"/>
        <v>6041.6666666666661</v>
      </c>
      <c r="AG8" s="167">
        <f t="shared" si="0"/>
        <v>6041.6666666666661</v>
      </c>
      <c r="AH8" s="167">
        <f t="shared" si="0"/>
        <v>6041.6666666666661</v>
      </c>
      <c r="AI8" s="167">
        <f t="shared" si="0"/>
        <v>6041.6666666666661</v>
      </c>
      <c r="AJ8" s="167">
        <f t="shared" si="0"/>
        <v>6041.6666666666661</v>
      </c>
      <c r="AK8" s="167">
        <f t="shared" si="0"/>
        <v>8750</v>
      </c>
      <c r="AL8" s="167">
        <f t="shared" si="0"/>
        <v>29895.833333333332</v>
      </c>
      <c r="AM8" s="167">
        <f t="shared" si="0"/>
        <v>29895.833333333332</v>
      </c>
      <c r="AN8" s="167">
        <f t="shared" si="0"/>
        <v>29895.833333333332</v>
      </c>
      <c r="AO8" s="167">
        <f t="shared" si="0"/>
        <v>29895.833333333332</v>
      </c>
      <c r="AP8" s="167">
        <f t="shared" si="0"/>
        <v>29895.833333333332</v>
      </c>
      <c r="AQ8" s="167">
        <f t="shared" si="0"/>
        <v>29895.833333333332</v>
      </c>
      <c r="AR8" s="167">
        <f t="shared" si="0"/>
        <v>29895.833333333332</v>
      </c>
      <c r="AS8" s="167">
        <f t="shared" si="0"/>
        <v>29895.833333333332</v>
      </c>
      <c r="AT8" s="167">
        <f t="shared" si="0"/>
        <v>29895.833333333332</v>
      </c>
      <c r="AU8" s="167">
        <f t="shared" si="0"/>
        <v>29895.833333333332</v>
      </c>
      <c r="AV8" s="167">
        <f t="shared" si="0"/>
        <v>29895.833333333332</v>
      </c>
      <c r="AW8" s="167">
        <f t="shared" si="0"/>
        <v>29895.833333333332</v>
      </c>
      <c r="AX8" s="167">
        <f t="shared" si="0"/>
        <v>20270.833333333336</v>
      </c>
      <c r="AY8" s="167">
        <f t="shared" si="0"/>
        <v>20270.833333333336</v>
      </c>
      <c r="AZ8" s="167">
        <f t="shared" si="0"/>
        <v>20270.833333333336</v>
      </c>
      <c r="BA8" s="167">
        <f t="shared" si="0"/>
        <v>20270.833333333336</v>
      </c>
      <c r="BB8" s="167">
        <f t="shared" si="0"/>
        <v>20270.833333333336</v>
      </c>
      <c r="BC8" s="167">
        <f t="shared" si="0"/>
        <v>20270.833333333336</v>
      </c>
      <c r="BD8" s="167">
        <f t="shared" si="0"/>
        <v>20270.833333333336</v>
      </c>
      <c r="BE8" s="167">
        <f t="shared" si="0"/>
        <v>20270.833333333336</v>
      </c>
      <c r="BF8" s="167">
        <f t="shared" si="0"/>
        <v>20270.833333333336</v>
      </c>
      <c r="BG8" s="167">
        <f t="shared" si="0"/>
        <v>20270.833333333336</v>
      </c>
      <c r="BH8" s="167">
        <f t="shared" si="0"/>
        <v>20270.833333333336</v>
      </c>
      <c r="BI8" s="167">
        <f t="shared" si="0"/>
        <v>20270.833333333336</v>
      </c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</row>
    <row r="9" spans="1:81" ht="15.75">
      <c r="A9" s="169" t="s">
        <v>157</v>
      </c>
      <c r="B9" s="170">
        <f>imp_fat*Resultados!B8</f>
        <v>762.9375</v>
      </c>
      <c r="C9" s="170">
        <f>imp_fat*Resultados!C8</f>
        <v>762.9375</v>
      </c>
      <c r="D9" s="170">
        <f>imp_fat*Resultados!D8</f>
        <v>762.9375</v>
      </c>
      <c r="E9" s="170">
        <f>imp_fat*Resultados!E8</f>
        <v>762.9375</v>
      </c>
      <c r="F9" s="170">
        <f>imp_fat*Resultados!F8</f>
        <v>762.9375</v>
      </c>
      <c r="G9" s="170">
        <f>imp_fat*Resultados!G8</f>
        <v>762.9375</v>
      </c>
      <c r="H9" s="170">
        <f>imp_fat*Resultados!H8</f>
        <v>762.9375</v>
      </c>
      <c r="I9" s="170">
        <f>imp_fat*Resultados!I8</f>
        <v>762.9375</v>
      </c>
      <c r="J9" s="170">
        <f>imp_fat*Resultados!J8</f>
        <v>762.9375</v>
      </c>
      <c r="K9" s="170">
        <f>imp_fat*Resultados!K8</f>
        <v>762.9375</v>
      </c>
      <c r="L9" s="170">
        <f>imp_fat*Resultados!L8</f>
        <v>762.9375</v>
      </c>
      <c r="M9" s="170">
        <f>imp_fat*Resultados!M8</f>
        <v>762.9375</v>
      </c>
      <c r="N9" s="170">
        <f>imp_fat*Resultados!N8</f>
        <v>1418.28125</v>
      </c>
      <c r="O9" s="170">
        <f>imp_fat*Resultados!O8</f>
        <v>1418.28125</v>
      </c>
      <c r="P9" s="170">
        <f>imp_fat*Resultados!P8</f>
        <v>1418.28125</v>
      </c>
      <c r="Q9" s="170">
        <f>imp_fat*Resultados!Q8</f>
        <v>1418.28125</v>
      </c>
      <c r="R9" s="170">
        <f>imp_fat*Resultados!R8</f>
        <v>1418.28125</v>
      </c>
      <c r="S9" s="170">
        <f>imp_fat*Resultados!S8</f>
        <v>1418.28125</v>
      </c>
      <c r="T9" s="170">
        <f>imp_fat*Resultados!T8</f>
        <v>1418.28125</v>
      </c>
      <c r="U9" s="170">
        <f>imp_fat*Resultados!U8</f>
        <v>1418.28125</v>
      </c>
      <c r="V9" s="170">
        <f>imp_fat*Resultados!V8</f>
        <v>1418.28125</v>
      </c>
      <c r="W9" s="170">
        <f>imp_fat*Resultados!W8</f>
        <v>1418.28125</v>
      </c>
      <c r="X9" s="170">
        <f>imp_fat*Resultados!X8</f>
        <v>1418.28125</v>
      </c>
      <c r="Y9" s="170">
        <f>imp_fat*Resultados!Y8</f>
        <v>994.42708333333326</v>
      </c>
      <c r="Z9" s="170">
        <f>imp_fat*Resultados!Z8</f>
        <v>945.52083333333326</v>
      </c>
      <c r="AA9" s="170">
        <f>imp_fat*Resultados!AA8</f>
        <v>945.52083333333326</v>
      </c>
      <c r="AB9" s="170">
        <f>imp_fat*Resultados!AB8</f>
        <v>945.52083333333326</v>
      </c>
      <c r="AC9" s="170">
        <f>imp_fat*Resultados!AC8</f>
        <v>945.52083333333326</v>
      </c>
      <c r="AD9" s="170">
        <f>imp_fat*Resultados!AD8</f>
        <v>945.52083333333326</v>
      </c>
      <c r="AE9" s="170">
        <f>imp_fat*Resultados!AE8</f>
        <v>945.52083333333326</v>
      </c>
      <c r="AF9" s="170">
        <f>imp_fat*Resultados!AF8</f>
        <v>945.52083333333326</v>
      </c>
      <c r="AG9" s="170">
        <f>imp_fat*Resultados!AG8</f>
        <v>945.52083333333326</v>
      </c>
      <c r="AH9" s="170">
        <f>imp_fat*Resultados!AH8</f>
        <v>945.52083333333326</v>
      </c>
      <c r="AI9" s="170">
        <f>imp_fat*Resultados!AI8</f>
        <v>945.52083333333326</v>
      </c>
      <c r="AJ9" s="170">
        <f>imp_fat*Resultados!AJ8</f>
        <v>945.52083333333326</v>
      </c>
      <c r="AK9" s="170">
        <f>imp_fat*Resultados!AK8</f>
        <v>1369.375</v>
      </c>
      <c r="AL9" s="170">
        <f>imp_fat*Resultados!AL8</f>
        <v>4678.6979166666661</v>
      </c>
      <c r="AM9" s="170">
        <f>imp_fat*Resultados!AM8</f>
        <v>4678.6979166666661</v>
      </c>
      <c r="AN9" s="170">
        <f>imp_fat*Resultados!AN8</f>
        <v>4678.6979166666661</v>
      </c>
      <c r="AO9" s="170">
        <f>imp_fat*Resultados!AO8</f>
        <v>4678.6979166666661</v>
      </c>
      <c r="AP9" s="170">
        <f>imp_fat*Resultados!AP8</f>
        <v>4678.6979166666661</v>
      </c>
      <c r="AQ9" s="170">
        <f>imp_fat*Resultados!AQ8</f>
        <v>4678.6979166666661</v>
      </c>
      <c r="AR9" s="170">
        <f>imp_fat*Resultados!AR8</f>
        <v>4678.6979166666661</v>
      </c>
      <c r="AS9" s="170">
        <f>imp_fat*Resultados!AS8</f>
        <v>4678.6979166666661</v>
      </c>
      <c r="AT9" s="170">
        <f>imp_fat*Resultados!AT8</f>
        <v>4678.6979166666661</v>
      </c>
      <c r="AU9" s="170">
        <f>imp_fat*Resultados!AU8</f>
        <v>4678.6979166666661</v>
      </c>
      <c r="AV9" s="170">
        <f>imp_fat*Resultados!AV8</f>
        <v>4678.6979166666661</v>
      </c>
      <c r="AW9" s="170">
        <f>imp_fat*Resultados!AW8</f>
        <v>4678.6979166666661</v>
      </c>
      <c r="AX9" s="170">
        <f>imp_fat*Resultados!AX8</f>
        <v>3172.385416666667</v>
      </c>
      <c r="AY9" s="170">
        <f>imp_fat*Resultados!AY8</f>
        <v>3172.385416666667</v>
      </c>
      <c r="AZ9" s="170">
        <f>imp_fat*Resultados!AZ8</f>
        <v>3172.385416666667</v>
      </c>
      <c r="BA9" s="170">
        <f>imp_fat*Resultados!BA8</f>
        <v>3172.385416666667</v>
      </c>
      <c r="BB9" s="170">
        <f>imp_fat*Resultados!BB8</f>
        <v>3172.385416666667</v>
      </c>
      <c r="BC9" s="170">
        <f>imp_fat*Resultados!BC8</f>
        <v>3172.385416666667</v>
      </c>
      <c r="BD9" s="170">
        <f>imp_fat*Resultados!BD8</f>
        <v>3172.385416666667</v>
      </c>
      <c r="BE9" s="170">
        <f>imp_fat*Resultados!BE8</f>
        <v>3172.385416666667</v>
      </c>
      <c r="BF9" s="170">
        <f>imp_fat*Resultados!BF8</f>
        <v>3172.385416666667</v>
      </c>
      <c r="BG9" s="170">
        <f>imp_fat*Resultados!BG8</f>
        <v>3172.385416666667</v>
      </c>
      <c r="BH9" s="170">
        <f>imp_fat*Resultados!BH8</f>
        <v>3172.385416666667</v>
      </c>
      <c r="BI9" s="170">
        <f>imp_fat*Resultados!BI8</f>
        <v>3172.385416666667</v>
      </c>
      <c r="BJ9" s="168"/>
      <c r="BK9" s="168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</row>
    <row r="10" spans="1:81" ht="15.75">
      <c r="A10" s="161" t="s">
        <v>158</v>
      </c>
      <c r="B10" s="167">
        <f t="shared" ref="B10:BI10" si="1">B8-B9</f>
        <v>4112.0625</v>
      </c>
      <c r="C10" s="167">
        <f t="shared" si="1"/>
        <v>4112.0625</v>
      </c>
      <c r="D10" s="167">
        <f t="shared" si="1"/>
        <v>4112.0625</v>
      </c>
      <c r="E10" s="167">
        <f t="shared" si="1"/>
        <v>4112.0625</v>
      </c>
      <c r="F10" s="167">
        <f t="shared" si="1"/>
        <v>4112.0625</v>
      </c>
      <c r="G10" s="167">
        <f t="shared" si="1"/>
        <v>4112.0625</v>
      </c>
      <c r="H10" s="167">
        <f t="shared" si="1"/>
        <v>4112.0625</v>
      </c>
      <c r="I10" s="167">
        <f t="shared" si="1"/>
        <v>4112.0625</v>
      </c>
      <c r="J10" s="167">
        <f t="shared" si="1"/>
        <v>4112.0625</v>
      </c>
      <c r="K10" s="167">
        <f t="shared" si="1"/>
        <v>4112.0625</v>
      </c>
      <c r="L10" s="167">
        <f t="shared" si="1"/>
        <v>4112.0625</v>
      </c>
      <c r="M10" s="167">
        <f t="shared" si="1"/>
        <v>4112.0625</v>
      </c>
      <c r="N10" s="167">
        <f t="shared" si="1"/>
        <v>7644.21875</v>
      </c>
      <c r="O10" s="167">
        <f t="shared" si="1"/>
        <v>7644.21875</v>
      </c>
      <c r="P10" s="167">
        <f t="shared" si="1"/>
        <v>7644.21875</v>
      </c>
      <c r="Q10" s="167">
        <f t="shared" si="1"/>
        <v>7644.21875</v>
      </c>
      <c r="R10" s="167">
        <f t="shared" si="1"/>
        <v>7644.21875</v>
      </c>
      <c r="S10" s="167">
        <f t="shared" si="1"/>
        <v>7644.21875</v>
      </c>
      <c r="T10" s="167">
        <f t="shared" si="1"/>
        <v>7644.21875</v>
      </c>
      <c r="U10" s="167">
        <f t="shared" si="1"/>
        <v>7644.21875</v>
      </c>
      <c r="V10" s="167">
        <f t="shared" si="1"/>
        <v>7644.21875</v>
      </c>
      <c r="W10" s="167">
        <f t="shared" si="1"/>
        <v>7644.21875</v>
      </c>
      <c r="X10" s="167">
        <f t="shared" si="1"/>
        <v>7644.21875</v>
      </c>
      <c r="Y10" s="167">
        <f t="shared" si="1"/>
        <v>5359.739583333333</v>
      </c>
      <c r="Z10" s="167">
        <f t="shared" si="1"/>
        <v>5096.145833333333</v>
      </c>
      <c r="AA10" s="167">
        <f t="shared" si="1"/>
        <v>5096.145833333333</v>
      </c>
      <c r="AB10" s="167">
        <f t="shared" si="1"/>
        <v>5096.145833333333</v>
      </c>
      <c r="AC10" s="167">
        <f t="shared" si="1"/>
        <v>5096.145833333333</v>
      </c>
      <c r="AD10" s="167">
        <f t="shared" si="1"/>
        <v>5096.145833333333</v>
      </c>
      <c r="AE10" s="167">
        <f t="shared" si="1"/>
        <v>5096.145833333333</v>
      </c>
      <c r="AF10" s="167">
        <f t="shared" si="1"/>
        <v>5096.145833333333</v>
      </c>
      <c r="AG10" s="167">
        <f t="shared" si="1"/>
        <v>5096.145833333333</v>
      </c>
      <c r="AH10" s="167">
        <f t="shared" si="1"/>
        <v>5096.145833333333</v>
      </c>
      <c r="AI10" s="167">
        <f t="shared" si="1"/>
        <v>5096.145833333333</v>
      </c>
      <c r="AJ10" s="167">
        <f t="shared" si="1"/>
        <v>5096.145833333333</v>
      </c>
      <c r="AK10" s="167">
        <f t="shared" si="1"/>
        <v>7380.625</v>
      </c>
      <c r="AL10" s="167">
        <f t="shared" si="1"/>
        <v>25217.135416666664</v>
      </c>
      <c r="AM10" s="167">
        <f t="shared" si="1"/>
        <v>25217.135416666664</v>
      </c>
      <c r="AN10" s="167">
        <f t="shared" si="1"/>
        <v>25217.135416666664</v>
      </c>
      <c r="AO10" s="167">
        <f t="shared" si="1"/>
        <v>25217.135416666664</v>
      </c>
      <c r="AP10" s="167">
        <f t="shared" si="1"/>
        <v>25217.135416666664</v>
      </c>
      <c r="AQ10" s="167">
        <f t="shared" si="1"/>
        <v>25217.135416666664</v>
      </c>
      <c r="AR10" s="167">
        <f t="shared" si="1"/>
        <v>25217.135416666664</v>
      </c>
      <c r="AS10" s="167">
        <f t="shared" si="1"/>
        <v>25217.135416666664</v>
      </c>
      <c r="AT10" s="167">
        <f t="shared" si="1"/>
        <v>25217.135416666664</v>
      </c>
      <c r="AU10" s="167">
        <f t="shared" si="1"/>
        <v>25217.135416666664</v>
      </c>
      <c r="AV10" s="167">
        <f t="shared" si="1"/>
        <v>25217.135416666664</v>
      </c>
      <c r="AW10" s="167">
        <f t="shared" si="1"/>
        <v>25217.135416666664</v>
      </c>
      <c r="AX10" s="167">
        <f t="shared" si="1"/>
        <v>17098.447916666668</v>
      </c>
      <c r="AY10" s="167">
        <f t="shared" si="1"/>
        <v>17098.447916666668</v>
      </c>
      <c r="AZ10" s="167">
        <f t="shared" si="1"/>
        <v>17098.447916666668</v>
      </c>
      <c r="BA10" s="167">
        <f t="shared" si="1"/>
        <v>17098.447916666668</v>
      </c>
      <c r="BB10" s="167">
        <f t="shared" si="1"/>
        <v>17098.447916666668</v>
      </c>
      <c r="BC10" s="167">
        <f t="shared" si="1"/>
        <v>17098.447916666668</v>
      </c>
      <c r="BD10" s="167">
        <f t="shared" si="1"/>
        <v>17098.447916666668</v>
      </c>
      <c r="BE10" s="167">
        <f t="shared" si="1"/>
        <v>17098.447916666668</v>
      </c>
      <c r="BF10" s="167">
        <f t="shared" si="1"/>
        <v>17098.447916666668</v>
      </c>
      <c r="BG10" s="167">
        <f t="shared" si="1"/>
        <v>17098.447916666668</v>
      </c>
      <c r="BH10" s="167">
        <f t="shared" si="1"/>
        <v>17098.447916666668</v>
      </c>
      <c r="BI10" s="167">
        <f t="shared" si="1"/>
        <v>17098.447916666668</v>
      </c>
      <c r="BJ10" s="168"/>
      <c r="BK10" s="168"/>
      <c r="BL10" s="168"/>
      <c r="BM10" s="168"/>
      <c r="BN10" s="168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/>
      <c r="CA10" s="168"/>
      <c r="CB10" s="168"/>
      <c r="CC10" s="168"/>
    </row>
    <row r="11" spans="1:81" ht="15.75">
      <c r="A11" s="169" t="s">
        <v>69</v>
      </c>
      <c r="B11" s="170">
        <f>Custos!B8</f>
        <v>945</v>
      </c>
      <c r="C11" s="170">
        <f>Custos!C8</f>
        <v>290</v>
      </c>
      <c r="D11" s="170">
        <f>Custos!D8</f>
        <v>290</v>
      </c>
      <c r="E11" s="170">
        <f>Custos!E8</f>
        <v>290</v>
      </c>
      <c r="F11" s="170">
        <f>Custos!F8</f>
        <v>290</v>
      </c>
      <c r="G11" s="170">
        <f>Custos!G8</f>
        <v>290</v>
      </c>
      <c r="H11" s="170">
        <f>Custos!H8</f>
        <v>290</v>
      </c>
      <c r="I11" s="170">
        <f>Custos!I8</f>
        <v>290</v>
      </c>
      <c r="J11" s="170">
        <f>Custos!J8</f>
        <v>290</v>
      </c>
      <c r="K11" s="170">
        <f>Custos!K8</f>
        <v>290</v>
      </c>
      <c r="L11" s="170">
        <f>Custos!L8</f>
        <v>290</v>
      </c>
      <c r="M11" s="170">
        <f>Custos!M8</f>
        <v>290</v>
      </c>
      <c r="N11" s="170">
        <f>Custos!N8</f>
        <v>291.2</v>
      </c>
      <c r="O11" s="170">
        <f>Custos!O8</f>
        <v>291.2</v>
      </c>
      <c r="P11" s="170">
        <f>Custos!P8</f>
        <v>291.2</v>
      </c>
      <c r="Q11" s="170">
        <f>Custos!Q8</f>
        <v>291.2</v>
      </c>
      <c r="R11" s="170">
        <f>Custos!R8</f>
        <v>291.2</v>
      </c>
      <c r="S11" s="170">
        <f>Custos!S8</f>
        <v>291.2</v>
      </c>
      <c r="T11" s="170">
        <f>Custos!T8</f>
        <v>291.2</v>
      </c>
      <c r="U11" s="170">
        <f>Custos!U8</f>
        <v>291.2</v>
      </c>
      <c r="V11" s="170">
        <f>Custos!V8</f>
        <v>291.2</v>
      </c>
      <c r="W11" s="170">
        <f>Custos!W8</f>
        <v>291.2</v>
      </c>
      <c r="X11" s="170">
        <f>Custos!X8</f>
        <v>291.2</v>
      </c>
      <c r="Y11" s="170">
        <f>Custos!Y8</f>
        <v>291.2</v>
      </c>
      <c r="Z11" s="170">
        <f>Custos!Z8</f>
        <v>292.47199999999998</v>
      </c>
      <c r="AA11" s="170">
        <f>Custos!AA8</f>
        <v>292.47199999999998</v>
      </c>
      <c r="AB11" s="170">
        <f>Custos!AB8</f>
        <v>292.47199999999998</v>
      </c>
      <c r="AC11" s="170">
        <f>Custos!AC8</f>
        <v>292.47199999999998</v>
      </c>
      <c r="AD11" s="170">
        <f>Custos!AD8</f>
        <v>292.47199999999998</v>
      </c>
      <c r="AE11" s="170">
        <f>Custos!AE8</f>
        <v>292.47199999999998</v>
      </c>
      <c r="AF11" s="170">
        <f>Custos!AF8</f>
        <v>292.47199999999998</v>
      </c>
      <c r="AG11" s="170">
        <f>Custos!AG8</f>
        <v>292.47199999999998</v>
      </c>
      <c r="AH11" s="170">
        <f>Custos!AH8</f>
        <v>292.47199999999998</v>
      </c>
      <c r="AI11" s="170">
        <f>Custos!AI8</f>
        <v>292.47199999999998</v>
      </c>
      <c r="AJ11" s="170">
        <f>Custos!AJ8</f>
        <v>292.47199999999998</v>
      </c>
      <c r="AK11" s="170">
        <f>Custos!AK8</f>
        <v>292.47199999999998</v>
      </c>
      <c r="AL11" s="170">
        <f>Custos!AL8</f>
        <v>383.82031999999998</v>
      </c>
      <c r="AM11" s="170">
        <f>Custos!AM8</f>
        <v>383.82031999999998</v>
      </c>
      <c r="AN11" s="170">
        <f>Custos!AN8</f>
        <v>383.82031999999998</v>
      </c>
      <c r="AO11" s="170">
        <f>Custos!AO8</f>
        <v>383.82031999999998</v>
      </c>
      <c r="AP11" s="170">
        <f>Custos!AP8</f>
        <v>383.82031999999998</v>
      </c>
      <c r="AQ11" s="170">
        <f>Custos!AQ8</f>
        <v>383.82031999999998</v>
      </c>
      <c r="AR11" s="170">
        <f>Custos!AR8</f>
        <v>383.82031999999998</v>
      </c>
      <c r="AS11" s="170">
        <f>Custos!AS8</f>
        <v>383.82031999999998</v>
      </c>
      <c r="AT11" s="170">
        <f>Custos!AT8</f>
        <v>383.82031999999998</v>
      </c>
      <c r="AU11" s="170">
        <f>Custos!AU8</f>
        <v>383.82031999999998</v>
      </c>
      <c r="AV11" s="170">
        <f>Custos!AV8</f>
        <v>383.82031999999998</v>
      </c>
      <c r="AW11" s="170">
        <f>Custos!AW8</f>
        <v>1210.7427288000004</v>
      </c>
      <c r="AX11" s="170">
        <f>Custos!AX8</f>
        <v>475.24953920000002</v>
      </c>
      <c r="AY11" s="170">
        <f>Custos!AY8</f>
        <v>475.24953920000002</v>
      </c>
      <c r="AZ11" s="170">
        <f>Custos!AZ8</f>
        <v>475.24953920000002</v>
      </c>
      <c r="BA11" s="170">
        <f>Custos!BA8</f>
        <v>475.24953920000002</v>
      </c>
      <c r="BB11" s="170">
        <f>Custos!BB8</f>
        <v>475.24953920000002</v>
      </c>
      <c r="BC11" s="170">
        <f>Custos!BC8</f>
        <v>475.24953920000002</v>
      </c>
      <c r="BD11" s="170">
        <f>Custos!BD8</f>
        <v>475.24953920000002</v>
      </c>
      <c r="BE11" s="170">
        <f>Custos!BE8</f>
        <v>475.24953920000002</v>
      </c>
      <c r="BF11" s="170">
        <f>Custos!BF8</f>
        <v>475.24953920000002</v>
      </c>
      <c r="BG11" s="170">
        <f>Custos!BG8</f>
        <v>475.24953920000002</v>
      </c>
      <c r="BH11" s="170">
        <f>Custos!BH8</f>
        <v>475.24953920000002</v>
      </c>
      <c r="BI11" s="170">
        <f>Custos!BI8</f>
        <v>475.24953920000002</v>
      </c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</row>
    <row r="12" spans="1:81" ht="15.75">
      <c r="A12" s="169" t="s">
        <v>159</v>
      </c>
      <c r="B12" s="170">
        <f>Investimentos_infra!B6</f>
        <v>6000</v>
      </c>
      <c r="C12" s="170">
        <f>Investimentos_infra!C6</f>
        <v>0</v>
      </c>
      <c r="D12" s="170">
        <f>Investimentos_infra!D6</f>
        <v>0</v>
      </c>
      <c r="E12" s="170">
        <f>Investimentos_infra!E6</f>
        <v>0</v>
      </c>
      <c r="F12" s="170">
        <f>Investimentos_infra!F6</f>
        <v>0</v>
      </c>
      <c r="G12" s="170">
        <f>Investimentos_infra!G6</f>
        <v>0</v>
      </c>
      <c r="H12" s="170">
        <f>Investimentos_infra!H6</f>
        <v>0</v>
      </c>
      <c r="I12" s="170">
        <f>Investimentos_infra!I6</f>
        <v>0</v>
      </c>
      <c r="J12" s="170">
        <f>Investimentos_infra!J6</f>
        <v>0</v>
      </c>
      <c r="K12" s="170">
        <f>Investimentos_infra!K6</f>
        <v>0</v>
      </c>
      <c r="L12" s="170">
        <f>Investimentos_infra!L6</f>
        <v>0</v>
      </c>
      <c r="M12" s="170">
        <f>Investimentos_infra!M6</f>
        <v>0</v>
      </c>
      <c r="N12" s="170">
        <f>Investimentos_infra!N6</f>
        <v>1200</v>
      </c>
      <c r="O12" s="170">
        <f>Investimentos_infra!O6</f>
        <v>0</v>
      </c>
      <c r="P12" s="170">
        <f>Investimentos_infra!P6</f>
        <v>0</v>
      </c>
      <c r="Q12" s="170">
        <f>Investimentos_infra!Q6</f>
        <v>0</v>
      </c>
      <c r="R12" s="170">
        <f>Investimentos_infra!R6</f>
        <v>0</v>
      </c>
      <c r="S12" s="170">
        <f>Investimentos_infra!S6</f>
        <v>0</v>
      </c>
      <c r="T12" s="170">
        <f>Investimentos_infra!T6</f>
        <v>0</v>
      </c>
      <c r="U12" s="170">
        <f>Investimentos_infra!U6</f>
        <v>0</v>
      </c>
      <c r="V12" s="170">
        <f>Investimentos_infra!V6</f>
        <v>0</v>
      </c>
      <c r="W12" s="170">
        <f>Investimentos_infra!W6</f>
        <v>0</v>
      </c>
      <c r="X12" s="170">
        <f>Investimentos_infra!X6</f>
        <v>0</v>
      </c>
      <c r="Y12" s="170">
        <f>Investimentos_infra!Y6</f>
        <v>0</v>
      </c>
      <c r="Z12" s="170">
        <f>Investimentos_infra!Z6</f>
        <v>1200</v>
      </c>
      <c r="AA12" s="170">
        <f>Investimentos_infra!AA6</f>
        <v>0</v>
      </c>
      <c r="AB12" s="170">
        <f>Investimentos_infra!AB6</f>
        <v>0</v>
      </c>
      <c r="AC12" s="170">
        <f>Investimentos_infra!AC6</f>
        <v>0</v>
      </c>
      <c r="AD12" s="170">
        <f>Investimentos_infra!AD6</f>
        <v>0</v>
      </c>
      <c r="AE12" s="170">
        <f>Investimentos_infra!AE6</f>
        <v>0</v>
      </c>
      <c r="AF12" s="170">
        <f>Investimentos_infra!AF6</f>
        <v>0</v>
      </c>
      <c r="AG12" s="170">
        <f>Investimentos_infra!AG6</f>
        <v>0</v>
      </c>
      <c r="AH12" s="170">
        <f>Investimentos_infra!AH6</f>
        <v>0</v>
      </c>
      <c r="AI12" s="170">
        <f>Investimentos_infra!AI6</f>
        <v>0</v>
      </c>
      <c r="AJ12" s="170">
        <f>Investimentos_infra!AJ6</f>
        <v>0</v>
      </c>
      <c r="AK12" s="170">
        <f>Investimentos_infra!AK6</f>
        <v>0</v>
      </c>
      <c r="AL12" s="170">
        <f>Investimentos_infra!AL6</f>
        <v>3200</v>
      </c>
      <c r="AM12" s="170">
        <f>Investimentos_infra!AM6</f>
        <v>0</v>
      </c>
      <c r="AN12" s="170">
        <f>Investimentos_infra!AN6</f>
        <v>0</v>
      </c>
      <c r="AO12" s="170">
        <f>Investimentos_infra!AO6</f>
        <v>0</v>
      </c>
      <c r="AP12" s="170">
        <f>Investimentos_infra!AP6</f>
        <v>0</v>
      </c>
      <c r="AQ12" s="170">
        <f>Investimentos_infra!AQ6</f>
        <v>0</v>
      </c>
      <c r="AR12" s="170">
        <f>Investimentos_infra!AR6</f>
        <v>0</v>
      </c>
      <c r="AS12" s="170">
        <f>Investimentos_infra!AS6</f>
        <v>0</v>
      </c>
      <c r="AT12" s="170">
        <f>Investimentos_infra!AT6</f>
        <v>0</v>
      </c>
      <c r="AU12" s="170">
        <f>Investimentos_infra!AU6</f>
        <v>0</v>
      </c>
      <c r="AV12" s="170">
        <f>Investimentos_infra!AV6</f>
        <v>0</v>
      </c>
      <c r="AW12" s="170">
        <f>Investimentos_infra!AW6</f>
        <v>0</v>
      </c>
      <c r="AX12" s="170">
        <f>Investimentos_infra!AX6</f>
        <v>3600</v>
      </c>
      <c r="AY12" s="170">
        <f>Investimentos_infra!AY6</f>
        <v>0</v>
      </c>
      <c r="AZ12" s="170">
        <f>Investimentos_infra!AZ6</f>
        <v>0</v>
      </c>
      <c r="BA12" s="170">
        <f>Investimentos_infra!BA6</f>
        <v>0</v>
      </c>
      <c r="BB12" s="170">
        <f>Investimentos_infra!BB6</f>
        <v>0</v>
      </c>
      <c r="BC12" s="170">
        <f>Investimentos_infra!BC6</f>
        <v>0</v>
      </c>
      <c r="BD12" s="170">
        <f>Investimentos_infra!BD6</f>
        <v>0</v>
      </c>
      <c r="BE12" s="170">
        <f>Investimentos_infra!BE6</f>
        <v>0</v>
      </c>
      <c r="BF12" s="170">
        <f>Investimentos_infra!BF6</f>
        <v>0</v>
      </c>
      <c r="BG12" s="170">
        <f>Investimentos_infra!BG6</f>
        <v>0</v>
      </c>
      <c r="BH12" s="170">
        <f>Investimentos_infra!BH6</f>
        <v>0</v>
      </c>
      <c r="BI12" s="170">
        <f>Investimentos_infra!BI6</f>
        <v>0</v>
      </c>
      <c r="BJ12" s="168"/>
      <c r="BK12" s="168"/>
      <c r="BL12" s="168"/>
      <c r="BM12" s="168"/>
      <c r="BN12" s="168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</row>
    <row r="13" spans="1:81" ht="15.75">
      <c r="A13" s="169" t="s">
        <v>61</v>
      </c>
      <c r="B13" s="170">
        <f>Despesas!B10</f>
        <v>3605</v>
      </c>
      <c r="C13" s="170">
        <f>Despesas!C10</f>
        <v>700</v>
      </c>
      <c r="D13" s="170">
        <f>Despesas!D10</f>
        <v>700</v>
      </c>
      <c r="E13" s="170">
        <f>Despesas!E10</f>
        <v>700</v>
      </c>
      <c r="F13" s="170">
        <f>Despesas!F10</f>
        <v>700</v>
      </c>
      <c r="G13" s="170">
        <f>Despesas!G10</f>
        <v>700</v>
      </c>
      <c r="H13" s="170">
        <f>Despesas!H10</f>
        <v>700</v>
      </c>
      <c r="I13" s="170">
        <f>Despesas!I10</f>
        <v>700</v>
      </c>
      <c r="J13" s="170">
        <f>Despesas!J10</f>
        <v>700</v>
      </c>
      <c r="K13" s="170">
        <f>Despesas!K10</f>
        <v>700</v>
      </c>
      <c r="L13" s="170">
        <f>Despesas!L10</f>
        <v>700</v>
      </c>
      <c r="M13" s="170">
        <f>Despesas!M10</f>
        <v>700</v>
      </c>
      <c r="N13" s="170">
        <f>Despesas!N10</f>
        <v>2974</v>
      </c>
      <c r="O13" s="170">
        <f>Despesas!O10</f>
        <v>724</v>
      </c>
      <c r="P13" s="170">
        <f>Despesas!P10</f>
        <v>724</v>
      </c>
      <c r="Q13" s="170">
        <f>Despesas!Q10</f>
        <v>724</v>
      </c>
      <c r="R13" s="170">
        <f>Despesas!R10</f>
        <v>724</v>
      </c>
      <c r="S13" s="170">
        <f>Despesas!S10</f>
        <v>724</v>
      </c>
      <c r="T13" s="170">
        <f>Despesas!T10</f>
        <v>724</v>
      </c>
      <c r="U13" s="170">
        <f>Despesas!U10</f>
        <v>724</v>
      </c>
      <c r="V13" s="170">
        <f>Despesas!V10</f>
        <v>724</v>
      </c>
      <c r="W13" s="170">
        <f>Despesas!W10</f>
        <v>724</v>
      </c>
      <c r="X13" s="170">
        <f>Despesas!X10</f>
        <v>724</v>
      </c>
      <c r="Y13" s="170">
        <f>Despesas!Y10</f>
        <v>724</v>
      </c>
      <c r="Z13" s="170">
        <f>Despesas!Z10</f>
        <v>2999.44</v>
      </c>
      <c r="AA13" s="170">
        <f>Despesas!AA10</f>
        <v>749.44</v>
      </c>
      <c r="AB13" s="170">
        <f>Despesas!AB10</f>
        <v>749.44</v>
      </c>
      <c r="AC13" s="170">
        <f>Despesas!AC10</f>
        <v>749.44</v>
      </c>
      <c r="AD13" s="170">
        <f>Despesas!AD10</f>
        <v>749.44</v>
      </c>
      <c r="AE13" s="170">
        <f>Despesas!AE10</f>
        <v>749.44</v>
      </c>
      <c r="AF13" s="170">
        <f>Despesas!AF10</f>
        <v>749.44</v>
      </c>
      <c r="AG13" s="170">
        <f>Despesas!AG10</f>
        <v>749.44</v>
      </c>
      <c r="AH13" s="170">
        <f>Despesas!AH10</f>
        <v>749.44</v>
      </c>
      <c r="AI13" s="170">
        <f>Despesas!AI10</f>
        <v>749.44</v>
      </c>
      <c r="AJ13" s="170">
        <f>Despesas!AJ10</f>
        <v>749.44</v>
      </c>
      <c r="AK13" s="170">
        <f>Despesas!AK10</f>
        <v>749.44</v>
      </c>
      <c r="AL13" s="170">
        <f>Despesas!AL10</f>
        <v>3996.4063999999998</v>
      </c>
      <c r="AM13" s="170">
        <f>Despesas!AM10</f>
        <v>996.40640000000008</v>
      </c>
      <c r="AN13" s="170">
        <f>Despesas!AN10</f>
        <v>996.40640000000008</v>
      </c>
      <c r="AO13" s="170">
        <f>Despesas!AO10</f>
        <v>996.40640000000008</v>
      </c>
      <c r="AP13" s="170">
        <f>Despesas!AP10</f>
        <v>996.40640000000008</v>
      </c>
      <c r="AQ13" s="170">
        <f>Despesas!AQ10</f>
        <v>996.40640000000008</v>
      </c>
      <c r="AR13" s="170">
        <f>Despesas!AR10</f>
        <v>996.40640000000008</v>
      </c>
      <c r="AS13" s="170">
        <f>Despesas!AS10</f>
        <v>996.40640000000008</v>
      </c>
      <c r="AT13" s="170">
        <f>Despesas!AT10</f>
        <v>996.40640000000008</v>
      </c>
      <c r="AU13" s="170">
        <f>Despesas!AU10</f>
        <v>996.40640000000008</v>
      </c>
      <c r="AV13" s="170">
        <f>Despesas!AV10</f>
        <v>996.40640000000008</v>
      </c>
      <c r="AW13" s="170">
        <f>Despesas!AW10</f>
        <v>996.40640000000008</v>
      </c>
      <c r="AX13" s="170">
        <f>Despesas!AX10</f>
        <v>5002.1907839999994</v>
      </c>
      <c r="AY13" s="170">
        <f>Despesas!AY10</f>
        <v>1252.1907840000001</v>
      </c>
      <c r="AZ13" s="170">
        <f>Despesas!AZ10</f>
        <v>1252.1907840000001</v>
      </c>
      <c r="BA13" s="170">
        <f>Despesas!BA10</f>
        <v>1252.1907840000001</v>
      </c>
      <c r="BB13" s="170">
        <f>Despesas!BB10</f>
        <v>1252.1907840000001</v>
      </c>
      <c r="BC13" s="170">
        <f>Despesas!BC10</f>
        <v>1252.1907840000001</v>
      </c>
      <c r="BD13" s="170">
        <f>Despesas!BD10</f>
        <v>1252.1907840000001</v>
      </c>
      <c r="BE13" s="170">
        <f>Despesas!BE10</f>
        <v>1252.1907840000001</v>
      </c>
      <c r="BF13" s="170">
        <f>Despesas!BF10</f>
        <v>1252.1907840000001</v>
      </c>
      <c r="BG13" s="170">
        <f>Despesas!BG10</f>
        <v>1252.1907840000001</v>
      </c>
      <c r="BH13" s="170">
        <f>Despesas!BH10</f>
        <v>1252.1907840000001</v>
      </c>
      <c r="BI13" s="170">
        <f>Despesas!BI10</f>
        <v>1252.1907840000001</v>
      </c>
      <c r="BJ13" s="168"/>
      <c r="BK13" s="168"/>
      <c r="BL13" s="168"/>
      <c r="BM13" s="168"/>
      <c r="BN13" s="168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</row>
    <row r="14" spans="1:81" ht="15.75">
      <c r="A14" s="169" t="s">
        <v>160</v>
      </c>
      <c r="B14" s="170">
        <f>Funcionários!B31</f>
        <v>6000</v>
      </c>
      <c r="C14" s="170">
        <f>Funcionários!C31</f>
        <v>6000</v>
      </c>
      <c r="D14" s="170">
        <f>Funcionários!D31</f>
        <v>6000</v>
      </c>
      <c r="E14" s="170">
        <f>Funcionários!E31</f>
        <v>6000</v>
      </c>
      <c r="F14" s="170">
        <f>Funcionários!F31</f>
        <v>6000</v>
      </c>
      <c r="G14" s="170">
        <f>Funcionários!G31</f>
        <v>6000</v>
      </c>
      <c r="H14" s="170">
        <f>Funcionários!H31</f>
        <v>6000</v>
      </c>
      <c r="I14" s="170">
        <f>Funcionários!I31</f>
        <v>6000</v>
      </c>
      <c r="J14" s="170">
        <f>Funcionários!J31</f>
        <v>6000</v>
      </c>
      <c r="K14" s="170">
        <f>Funcionários!K31</f>
        <v>6000</v>
      </c>
      <c r="L14" s="170">
        <f>Funcionários!L31</f>
        <v>6000</v>
      </c>
      <c r="M14" s="170">
        <f>Funcionários!M31</f>
        <v>6000</v>
      </c>
      <c r="N14" s="170">
        <f>Funcionários!N31</f>
        <v>6360</v>
      </c>
      <c r="O14" s="170">
        <f>Funcionários!O31</f>
        <v>6360</v>
      </c>
      <c r="P14" s="170">
        <f>Funcionários!P31</f>
        <v>6360</v>
      </c>
      <c r="Q14" s="170">
        <f>Funcionários!Q31</f>
        <v>6360</v>
      </c>
      <c r="R14" s="170">
        <f>Funcionários!R31</f>
        <v>6360</v>
      </c>
      <c r="S14" s="170">
        <f>Funcionários!S31</f>
        <v>6360</v>
      </c>
      <c r="T14" s="170">
        <f>Funcionários!T31</f>
        <v>6360</v>
      </c>
      <c r="U14" s="170">
        <f>Funcionários!U31</f>
        <v>6360</v>
      </c>
      <c r="V14" s="170">
        <f>Funcionários!V31</f>
        <v>6360</v>
      </c>
      <c r="W14" s="170">
        <f>Funcionários!W31</f>
        <v>6360</v>
      </c>
      <c r="X14" s="170">
        <f>Funcionários!X31</f>
        <v>6360</v>
      </c>
      <c r="Y14" s="170">
        <f>Funcionários!Y31</f>
        <v>6360</v>
      </c>
      <c r="Z14" s="170">
        <f>Funcionários!Z31</f>
        <v>6741.6</v>
      </c>
      <c r="AA14" s="170">
        <f>Funcionários!AA31</f>
        <v>6741.6</v>
      </c>
      <c r="AB14" s="170">
        <f>Funcionários!AB31</f>
        <v>6741.6</v>
      </c>
      <c r="AC14" s="170">
        <f>Funcionários!AC31</f>
        <v>6741.6</v>
      </c>
      <c r="AD14" s="170">
        <f>Funcionários!AD31</f>
        <v>6741.6</v>
      </c>
      <c r="AE14" s="170">
        <f>Funcionários!AE31</f>
        <v>6741.6</v>
      </c>
      <c r="AF14" s="170">
        <f>Funcionários!AF31</f>
        <v>6741.6</v>
      </c>
      <c r="AG14" s="170">
        <f>Funcionários!AG31</f>
        <v>6741.6</v>
      </c>
      <c r="AH14" s="170">
        <f>Funcionários!AH31</f>
        <v>6741.6</v>
      </c>
      <c r="AI14" s="170">
        <f>Funcionários!AI31</f>
        <v>6741.6</v>
      </c>
      <c r="AJ14" s="170">
        <f>Funcionários!AJ31</f>
        <v>6741.6</v>
      </c>
      <c r="AK14" s="170">
        <f>Funcionários!AK31</f>
        <v>8988.8000000000011</v>
      </c>
      <c r="AL14" s="170">
        <f>Funcionários!AL31</f>
        <v>9528.1280000000024</v>
      </c>
      <c r="AM14" s="170">
        <f>Funcionários!AM31</f>
        <v>9528.1280000000024</v>
      </c>
      <c r="AN14" s="170">
        <f>Funcionários!AN31</f>
        <v>9528.1280000000024</v>
      </c>
      <c r="AO14" s="170">
        <f>Funcionários!AO31</f>
        <v>9528.1280000000024</v>
      </c>
      <c r="AP14" s="170">
        <f>Funcionários!AP31</f>
        <v>9528.1280000000024</v>
      </c>
      <c r="AQ14" s="170">
        <f>Funcionários!AQ31</f>
        <v>9528.1280000000024</v>
      </c>
      <c r="AR14" s="170">
        <f>Funcionários!AR31</f>
        <v>9528.1280000000024</v>
      </c>
      <c r="AS14" s="170">
        <f>Funcionários!AS31</f>
        <v>9528.1280000000024</v>
      </c>
      <c r="AT14" s="170">
        <f>Funcionários!AT31</f>
        <v>9528.1280000000024</v>
      </c>
      <c r="AU14" s="170">
        <f>Funcionários!AU31</f>
        <v>9528.1280000000024</v>
      </c>
      <c r="AV14" s="170">
        <f>Funcionários!AV31</f>
        <v>9528.1280000000024</v>
      </c>
      <c r="AW14" s="170">
        <f>Funcionários!AW31</f>
        <v>11910.160000000003</v>
      </c>
      <c r="AX14" s="170">
        <f>Funcionários!AX31</f>
        <v>12624.769600000003</v>
      </c>
      <c r="AY14" s="170">
        <f>Funcionários!AY31</f>
        <v>12624.769600000003</v>
      </c>
      <c r="AZ14" s="170">
        <f>Funcionários!AZ31</f>
        <v>12624.769600000003</v>
      </c>
      <c r="BA14" s="170">
        <f>Funcionários!BA31</f>
        <v>12624.769600000003</v>
      </c>
      <c r="BB14" s="170">
        <f>Funcionários!BB31</f>
        <v>12624.769600000003</v>
      </c>
      <c r="BC14" s="170">
        <f>Funcionários!BC31</f>
        <v>12624.769600000003</v>
      </c>
      <c r="BD14" s="170">
        <f>Funcionários!BD31</f>
        <v>12624.769600000003</v>
      </c>
      <c r="BE14" s="170">
        <f>Funcionários!BE31</f>
        <v>12624.769600000003</v>
      </c>
      <c r="BF14" s="170">
        <f>Funcionários!BF31</f>
        <v>12624.769600000003</v>
      </c>
      <c r="BG14" s="170">
        <f>Funcionários!BG31</f>
        <v>12624.769600000003</v>
      </c>
      <c r="BH14" s="170">
        <f>Funcionários!BH31</f>
        <v>12624.769600000003</v>
      </c>
      <c r="BI14" s="170">
        <f>Funcionários!BI31</f>
        <v>12624.769600000003</v>
      </c>
      <c r="BJ14" s="168"/>
      <c r="BK14" s="168"/>
      <c r="BL14" s="168"/>
      <c r="BM14" s="168"/>
      <c r="BN14" s="168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</row>
    <row r="15" spans="1:81" ht="15.75">
      <c r="A15" s="161" t="s">
        <v>161</v>
      </c>
      <c r="B15" s="167">
        <f t="shared" ref="B15:BI15" si="2">B10-SUM(B11:B14)</f>
        <v>-12437.9375</v>
      </c>
      <c r="C15" s="167">
        <f t="shared" si="2"/>
        <v>-2877.9375</v>
      </c>
      <c r="D15" s="167">
        <f t="shared" si="2"/>
        <v>-2877.9375</v>
      </c>
      <c r="E15" s="167">
        <f t="shared" si="2"/>
        <v>-2877.9375</v>
      </c>
      <c r="F15" s="167">
        <f t="shared" si="2"/>
        <v>-2877.9375</v>
      </c>
      <c r="G15" s="167">
        <f t="shared" si="2"/>
        <v>-2877.9375</v>
      </c>
      <c r="H15" s="167">
        <f t="shared" si="2"/>
        <v>-2877.9375</v>
      </c>
      <c r="I15" s="167">
        <f t="shared" si="2"/>
        <v>-2877.9375</v>
      </c>
      <c r="J15" s="167">
        <f t="shared" si="2"/>
        <v>-2877.9375</v>
      </c>
      <c r="K15" s="167">
        <f t="shared" si="2"/>
        <v>-2877.9375</v>
      </c>
      <c r="L15" s="167">
        <f t="shared" si="2"/>
        <v>-2877.9375</v>
      </c>
      <c r="M15" s="167">
        <f t="shared" si="2"/>
        <v>-2877.9375</v>
      </c>
      <c r="N15" s="167">
        <f t="shared" si="2"/>
        <v>-3180.9812500000007</v>
      </c>
      <c r="O15" s="167">
        <f t="shared" si="2"/>
        <v>269.01875000000018</v>
      </c>
      <c r="P15" s="167">
        <f t="shared" si="2"/>
        <v>269.01875000000018</v>
      </c>
      <c r="Q15" s="167">
        <f t="shared" si="2"/>
        <v>269.01875000000018</v>
      </c>
      <c r="R15" s="167">
        <f t="shared" si="2"/>
        <v>269.01875000000018</v>
      </c>
      <c r="S15" s="167">
        <f t="shared" si="2"/>
        <v>269.01875000000018</v>
      </c>
      <c r="T15" s="167">
        <f t="shared" si="2"/>
        <v>269.01875000000018</v>
      </c>
      <c r="U15" s="167">
        <f t="shared" si="2"/>
        <v>269.01875000000018</v>
      </c>
      <c r="V15" s="167">
        <f t="shared" si="2"/>
        <v>269.01875000000018</v>
      </c>
      <c r="W15" s="167">
        <f t="shared" si="2"/>
        <v>269.01875000000018</v>
      </c>
      <c r="X15" s="167">
        <f t="shared" si="2"/>
        <v>269.01875000000018</v>
      </c>
      <c r="Y15" s="167">
        <f t="shared" si="2"/>
        <v>-2015.4604166666668</v>
      </c>
      <c r="Z15" s="167">
        <f t="shared" si="2"/>
        <v>-6137.3661666666676</v>
      </c>
      <c r="AA15" s="167">
        <f t="shared" si="2"/>
        <v>-2687.3661666666676</v>
      </c>
      <c r="AB15" s="167">
        <f t="shared" si="2"/>
        <v>-2687.3661666666676</v>
      </c>
      <c r="AC15" s="167">
        <f t="shared" si="2"/>
        <v>-2687.3661666666676</v>
      </c>
      <c r="AD15" s="167">
        <f t="shared" si="2"/>
        <v>-2687.3661666666676</v>
      </c>
      <c r="AE15" s="167">
        <f t="shared" si="2"/>
        <v>-2687.3661666666676</v>
      </c>
      <c r="AF15" s="167">
        <f t="shared" si="2"/>
        <v>-2687.3661666666676</v>
      </c>
      <c r="AG15" s="167">
        <f t="shared" si="2"/>
        <v>-2687.3661666666676</v>
      </c>
      <c r="AH15" s="167">
        <f t="shared" si="2"/>
        <v>-2687.3661666666676</v>
      </c>
      <c r="AI15" s="167">
        <f t="shared" si="2"/>
        <v>-2687.3661666666676</v>
      </c>
      <c r="AJ15" s="167">
        <f t="shared" si="2"/>
        <v>-2687.3661666666676</v>
      </c>
      <c r="AK15" s="167">
        <f t="shared" si="2"/>
        <v>-2650.0870000000014</v>
      </c>
      <c r="AL15" s="167">
        <f t="shared" si="2"/>
        <v>8108.7806966666612</v>
      </c>
      <c r="AM15" s="167">
        <f t="shared" si="2"/>
        <v>14308.780696666661</v>
      </c>
      <c r="AN15" s="167">
        <f t="shared" si="2"/>
        <v>14308.780696666661</v>
      </c>
      <c r="AO15" s="167">
        <f t="shared" si="2"/>
        <v>14308.780696666661</v>
      </c>
      <c r="AP15" s="167">
        <f t="shared" si="2"/>
        <v>14308.780696666661</v>
      </c>
      <c r="AQ15" s="167">
        <f t="shared" si="2"/>
        <v>14308.780696666661</v>
      </c>
      <c r="AR15" s="167">
        <f t="shared" si="2"/>
        <v>14308.780696666661</v>
      </c>
      <c r="AS15" s="167">
        <f t="shared" si="2"/>
        <v>14308.780696666661</v>
      </c>
      <c r="AT15" s="167">
        <f t="shared" si="2"/>
        <v>14308.780696666661</v>
      </c>
      <c r="AU15" s="167">
        <f t="shared" si="2"/>
        <v>14308.780696666661</v>
      </c>
      <c r="AV15" s="167">
        <f t="shared" si="2"/>
        <v>14308.780696666661</v>
      </c>
      <c r="AW15" s="167">
        <f t="shared" si="2"/>
        <v>11099.826287866661</v>
      </c>
      <c r="AX15" s="167">
        <f t="shared" si="2"/>
        <v>-4603.7620065333358</v>
      </c>
      <c r="AY15" s="167">
        <f t="shared" si="2"/>
        <v>2746.2379934666642</v>
      </c>
      <c r="AZ15" s="167">
        <f t="shared" si="2"/>
        <v>2746.2379934666642</v>
      </c>
      <c r="BA15" s="167">
        <f t="shared" si="2"/>
        <v>2746.2379934666642</v>
      </c>
      <c r="BB15" s="167">
        <f t="shared" si="2"/>
        <v>2746.2379934666642</v>
      </c>
      <c r="BC15" s="167">
        <f t="shared" si="2"/>
        <v>2746.2379934666642</v>
      </c>
      <c r="BD15" s="167">
        <f t="shared" si="2"/>
        <v>2746.2379934666642</v>
      </c>
      <c r="BE15" s="167">
        <f t="shared" si="2"/>
        <v>2746.2379934666642</v>
      </c>
      <c r="BF15" s="167">
        <f t="shared" si="2"/>
        <v>2746.2379934666642</v>
      </c>
      <c r="BG15" s="167">
        <f t="shared" si="2"/>
        <v>2746.2379934666642</v>
      </c>
      <c r="BH15" s="167">
        <f t="shared" si="2"/>
        <v>2746.2379934666642</v>
      </c>
      <c r="BI15" s="167">
        <f t="shared" si="2"/>
        <v>2746.2379934666642</v>
      </c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</row>
    <row r="16" spans="1:81" ht="15.75">
      <c r="A16" s="169" t="s">
        <v>19</v>
      </c>
      <c r="B16" s="170">
        <f t="shared" ref="B16:BI16" si="3">-IF(B15&lt;0,0,0.25*B15)</f>
        <v>0</v>
      </c>
      <c r="C16" s="170">
        <f t="shared" si="3"/>
        <v>0</v>
      </c>
      <c r="D16" s="170">
        <f t="shared" si="3"/>
        <v>0</v>
      </c>
      <c r="E16" s="170">
        <f t="shared" si="3"/>
        <v>0</v>
      </c>
      <c r="F16" s="170">
        <f t="shared" si="3"/>
        <v>0</v>
      </c>
      <c r="G16" s="170">
        <f t="shared" si="3"/>
        <v>0</v>
      </c>
      <c r="H16" s="170">
        <f t="shared" si="3"/>
        <v>0</v>
      </c>
      <c r="I16" s="170">
        <f t="shared" si="3"/>
        <v>0</v>
      </c>
      <c r="J16" s="170">
        <f t="shared" si="3"/>
        <v>0</v>
      </c>
      <c r="K16" s="170">
        <f t="shared" si="3"/>
        <v>0</v>
      </c>
      <c r="L16" s="170">
        <f t="shared" si="3"/>
        <v>0</v>
      </c>
      <c r="M16" s="170">
        <f t="shared" si="3"/>
        <v>0</v>
      </c>
      <c r="N16" s="170">
        <f t="shared" si="3"/>
        <v>0</v>
      </c>
      <c r="O16" s="170">
        <f t="shared" si="3"/>
        <v>-67.254687500000045</v>
      </c>
      <c r="P16" s="170">
        <f t="shared" si="3"/>
        <v>-67.254687500000045</v>
      </c>
      <c r="Q16" s="170">
        <f t="shared" si="3"/>
        <v>-67.254687500000045</v>
      </c>
      <c r="R16" s="170">
        <f t="shared" si="3"/>
        <v>-67.254687500000045</v>
      </c>
      <c r="S16" s="170">
        <f t="shared" si="3"/>
        <v>-67.254687500000045</v>
      </c>
      <c r="T16" s="170">
        <f t="shared" si="3"/>
        <v>-67.254687500000045</v>
      </c>
      <c r="U16" s="170">
        <f t="shared" si="3"/>
        <v>-67.254687500000045</v>
      </c>
      <c r="V16" s="170">
        <f t="shared" si="3"/>
        <v>-67.254687500000045</v>
      </c>
      <c r="W16" s="170">
        <f t="shared" si="3"/>
        <v>-67.254687500000045</v>
      </c>
      <c r="X16" s="170">
        <f t="shared" si="3"/>
        <v>-67.254687500000045</v>
      </c>
      <c r="Y16" s="170">
        <f t="shared" si="3"/>
        <v>0</v>
      </c>
      <c r="Z16" s="170">
        <f t="shared" si="3"/>
        <v>0</v>
      </c>
      <c r="AA16" s="170">
        <f t="shared" si="3"/>
        <v>0</v>
      </c>
      <c r="AB16" s="170">
        <f t="shared" si="3"/>
        <v>0</v>
      </c>
      <c r="AC16" s="170">
        <f t="shared" si="3"/>
        <v>0</v>
      </c>
      <c r="AD16" s="170">
        <f t="shared" si="3"/>
        <v>0</v>
      </c>
      <c r="AE16" s="170">
        <f t="shared" si="3"/>
        <v>0</v>
      </c>
      <c r="AF16" s="170">
        <f t="shared" si="3"/>
        <v>0</v>
      </c>
      <c r="AG16" s="170">
        <f t="shared" si="3"/>
        <v>0</v>
      </c>
      <c r="AH16" s="170">
        <f t="shared" si="3"/>
        <v>0</v>
      </c>
      <c r="AI16" s="170">
        <f t="shared" si="3"/>
        <v>0</v>
      </c>
      <c r="AJ16" s="170">
        <f t="shared" si="3"/>
        <v>0</v>
      </c>
      <c r="AK16" s="170">
        <f t="shared" si="3"/>
        <v>0</v>
      </c>
      <c r="AL16" s="170">
        <f t="shared" si="3"/>
        <v>-2027.1951741666653</v>
      </c>
      <c r="AM16" s="170">
        <f t="shared" si="3"/>
        <v>-3577.1951741666653</v>
      </c>
      <c r="AN16" s="170">
        <f t="shared" si="3"/>
        <v>-3577.1951741666653</v>
      </c>
      <c r="AO16" s="170">
        <f t="shared" si="3"/>
        <v>-3577.1951741666653</v>
      </c>
      <c r="AP16" s="170">
        <f t="shared" si="3"/>
        <v>-3577.1951741666653</v>
      </c>
      <c r="AQ16" s="170">
        <f t="shared" si="3"/>
        <v>-3577.1951741666653</v>
      </c>
      <c r="AR16" s="170">
        <f t="shared" si="3"/>
        <v>-3577.1951741666653</v>
      </c>
      <c r="AS16" s="170">
        <f t="shared" si="3"/>
        <v>-3577.1951741666653</v>
      </c>
      <c r="AT16" s="170">
        <f t="shared" si="3"/>
        <v>-3577.1951741666653</v>
      </c>
      <c r="AU16" s="170">
        <f t="shared" si="3"/>
        <v>-3577.1951741666653</v>
      </c>
      <c r="AV16" s="170">
        <f t="shared" si="3"/>
        <v>-3577.1951741666653</v>
      </c>
      <c r="AW16" s="170">
        <f t="shared" si="3"/>
        <v>-2774.9565719666653</v>
      </c>
      <c r="AX16" s="170">
        <f t="shared" si="3"/>
        <v>0</v>
      </c>
      <c r="AY16" s="170">
        <f t="shared" si="3"/>
        <v>-686.55949836666605</v>
      </c>
      <c r="AZ16" s="170">
        <f t="shared" si="3"/>
        <v>-686.55949836666605</v>
      </c>
      <c r="BA16" s="170">
        <f t="shared" si="3"/>
        <v>-686.55949836666605</v>
      </c>
      <c r="BB16" s="170">
        <f t="shared" si="3"/>
        <v>-686.55949836666605</v>
      </c>
      <c r="BC16" s="170">
        <f t="shared" si="3"/>
        <v>-686.55949836666605</v>
      </c>
      <c r="BD16" s="170">
        <f t="shared" si="3"/>
        <v>-686.55949836666605</v>
      </c>
      <c r="BE16" s="170">
        <f t="shared" si="3"/>
        <v>-686.55949836666605</v>
      </c>
      <c r="BF16" s="170">
        <f t="shared" si="3"/>
        <v>-686.55949836666605</v>
      </c>
      <c r="BG16" s="170">
        <f t="shared" si="3"/>
        <v>-686.55949836666605</v>
      </c>
      <c r="BH16" s="170">
        <f t="shared" si="3"/>
        <v>-686.55949836666605</v>
      </c>
      <c r="BI16" s="170">
        <f t="shared" si="3"/>
        <v>-686.55949836666605</v>
      </c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</row>
    <row r="17" spans="1:81" ht="15.75">
      <c r="A17" s="169" t="s">
        <v>20</v>
      </c>
      <c r="B17" s="170">
        <f t="shared" ref="B17:BI17" si="4">-IF(B15&lt;0,0,B15*0.09)</f>
        <v>0</v>
      </c>
      <c r="C17" s="170">
        <f t="shared" si="4"/>
        <v>0</v>
      </c>
      <c r="D17" s="170">
        <f t="shared" si="4"/>
        <v>0</v>
      </c>
      <c r="E17" s="170">
        <f t="shared" si="4"/>
        <v>0</v>
      </c>
      <c r="F17" s="170">
        <f t="shared" si="4"/>
        <v>0</v>
      </c>
      <c r="G17" s="170">
        <f t="shared" si="4"/>
        <v>0</v>
      </c>
      <c r="H17" s="170">
        <f t="shared" si="4"/>
        <v>0</v>
      </c>
      <c r="I17" s="170">
        <f t="shared" si="4"/>
        <v>0</v>
      </c>
      <c r="J17" s="170">
        <f t="shared" si="4"/>
        <v>0</v>
      </c>
      <c r="K17" s="170">
        <f t="shared" si="4"/>
        <v>0</v>
      </c>
      <c r="L17" s="170">
        <f t="shared" si="4"/>
        <v>0</v>
      </c>
      <c r="M17" s="170">
        <f t="shared" si="4"/>
        <v>0</v>
      </c>
      <c r="N17" s="170">
        <f t="shared" si="4"/>
        <v>0</v>
      </c>
      <c r="O17" s="170">
        <f t="shared" si="4"/>
        <v>-24.211687500000014</v>
      </c>
      <c r="P17" s="170">
        <f t="shared" si="4"/>
        <v>-24.211687500000014</v>
      </c>
      <c r="Q17" s="170">
        <f t="shared" si="4"/>
        <v>-24.211687500000014</v>
      </c>
      <c r="R17" s="170">
        <f t="shared" si="4"/>
        <v>-24.211687500000014</v>
      </c>
      <c r="S17" s="170">
        <f t="shared" si="4"/>
        <v>-24.211687500000014</v>
      </c>
      <c r="T17" s="170">
        <f t="shared" si="4"/>
        <v>-24.211687500000014</v>
      </c>
      <c r="U17" s="170">
        <f t="shared" si="4"/>
        <v>-24.211687500000014</v>
      </c>
      <c r="V17" s="170">
        <f t="shared" si="4"/>
        <v>-24.211687500000014</v>
      </c>
      <c r="W17" s="170">
        <f t="shared" si="4"/>
        <v>-24.211687500000014</v>
      </c>
      <c r="X17" s="170">
        <f t="shared" si="4"/>
        <v>-24.211687500000014</v>
      </c>
      <c r="Y17" s="170">
        <f t="shared" si="4"/>
        <v>0</v>
      </c>
      <c r="Z17" s="170">
        <f t="shared" si="4"/>
        <v>0</v>
      </c>
      <c r="AA17" s="170">
        <f t="shared" si="4"/>
        <v>0</v>
      </c>
      <c r="AB17" s="170">
        <f t="shared" si="4"/>
        <v>0</v>
      </c>
      <c r="AC17" s="170">
        <f t="shared" si="4"/>
        <v>0</v>
      </c>
      <c r="AD17" s="170">
        <f t="shared" si="4"/>
        <v>0</v>
      </c>
      <c r="AE17" s="170">
        <f t="shared" si="4"/>
        <v>0</v>
      </c>
      <c r="AF17" s="170">
        <f t="shared" si="4"/>
        <v>0</v>
      </c>
      <c r="AG17" s="170">
        <f t="shared" si="4"/>
        <v>0</v>
      </c>
      <c r="AH17" s="170">
        <f t="shared" si="4"/>
        <v>0</v>
      </c>
      <c r="AI17" s="170">
        <f t="shared" si="4"/>
        <v>0</v>
      </c>
      <c r="AJ17" s="170">
        <f t="shared" si="4"/>
        <v>0</v>
      </c>
      <c r="AK17" s="170">
        <f t="shared" si="4"/>
        <v>0</v>
      </c>
      <c r="AL17" s="170">
        <f t="shared" si="4"/>
        <v>-729.79026269999952</v>
      </c>
      <c r="AM17" s="170">
        <f t="shared" si="4"/>
        <v>-1287.7902626999994</v>
      </c>
      <c r="AN17" s="170">
        <f t="shared" si="4"/>
        <v>-1287.7902626999994</v>
      </c>
      <c r="AO17" s="170">
        <f t="shared" si="4"/>
        <v>-1287.7902626999994</v>
      </c>
      <c r="AP17" s="170">
        <f t="shared" si="4"/>
        <v>-1287.7902626999994</v>
      </c>
      <c r="AQ17" s="170">
        <f t="shared" si="4"/>
        <v>-1287.7902626999994</v>
      </c>
      <c r="AR17" s="170">
        <f t="shared" si="4"/>
        <v>-1287.7902626999994</v>
      </c>
      <c r="AS17" s="170">
        <f t="shared" si="4"/>
        <v>-1287.7902626999994</v>
      </c>
      <c r="AT17" s="170">
        <f t="shared" si="4"/>
        <v>-1287.7902626999994</v>
      </c>
      <c r="AU17" s="170">
        <f t="shared" si="4"/>
        <v>-1287.7902626999994</v>
      </c>
      <c r="AV17" s="170">
        <f t="shared" si="4"/>
        <v>-1287.7902626999994</v>
      </c>
      <c r="AW17" s="170">
        <f t="shared" si="4"/>
        <v>-998.9843659079994</v>
      </c>
      <c r="AX17" s="170">
        <f t="shared" si="4"/>
        <v>0</v>
      </c>
      <c r="AY17" s="170">
        <f t="shared" si="4"/>
        <v>-247.16141941199976</v>
      </c>
      <c r="AZ17" s="170">
        <f t="shared" si="4"/>
        <v>-247.16141941199976</v>
      </c>
      <c r="BA17" s="170">
        <f t="shared" si="4"/>
        <v>-247.16141941199976</v>
      </c>
      <c r="BB17" s="170">
        <f t="shared" si="4"/>
        <v>-247.16141941199976</v>
      </c>
      <c r="BC17" s="170">
        <f t="shared" si="4"/>
        <v>-247.16141941199976</v>
      </c>
      <c r="BD17" s="170">
        <f t="shared" si="4"/>
        <v>-247.16141941199976</v>
      </c>
      <c r="BE17" s="170">
        <f t="shared" si="4"/>
        <v>-247.16141941199976</v>
      </c>
      <c r="BF17" s="170">
        <f t="shared" si="4"/>
        <v>-247.16141941199976</v>
      </c>
      <c r="BG17" s="170">
        <f t="shared" si="4"/>
        <v>-247.16141941199976</v>
      </c>
      <c r="BH17" s="170">
        <f t="shared" si="4"/>
        <v>-247.16141941199976</v>
      </c>
      <c r="BI17" s="170">
        <f t="shared" si="4"/>
        <v>-247.16141941199976</v>
      </c>
      <c r="BJ17" s="168"/>
      <c r="BK17" s="168"/>
      <c r="BL17" s="168"/>
      <c r="BM17" s="168"/>
      <c r="BN17" s="168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</row>
    <row r="18" spans="1:81" ht="15.75">
      <c r="A18" s="161" t="s">
        <v>162</v>
      </c>
      <c r="B18" s="171">
        <f t="shared" ref="B18:BI18" si="5">B15+B16+B17</f>
        <v>-12437.9375</v>
      </c>
      <c r="C18" s="171">
        <f t="shared" si="5"/>
        <v>-2877.9375</v>
      </c>
      <c r="D18" s="171">
        <f t="shared" si="5"/>
        <v>-2877.9375</v>
      </c>
      <c r="E18" s="171">
        <f t="shared" si="5"/>
        <v>-2877.9375</v>
      </c>
      <c r="F18" s="171">
        <f t="shared" si="5"/>
        <v>-2877.9375</v>
      </c>
      <c r="G18" s="171">
        <f t="shared" si="5"/>
        <v>-2877.9375</v>
      </c>
      <c r="H18" s="171">
        <f t="shared" si="5"/>
        <v>-2877.9375</v>
      </c>
      <c r="I18" s="171">
        <f t="shared" si="5"/>
        <v>-2877.9375</v>
      </c>
      <c r="J18" s="171">
        <f t="shared" si="5"/>
        <v>-2877.9375</v>
      </c>
      <c r="K18" s="171">
        <f t="shared" si="5"/>
        <v>-2877.9375</v>
      </c>
      <c r="L18" s="171">
        <f t="shared" si="5"/>
        <v>-2877.9375</v>
      </c>
      <c r="M18" s="171">
        <f t="shared" si="5"/>
        <v>-2877.9375</v>
      </c>
      <c r="N18" s="171">
        <f t="shared" si="5"/>
        <v>-3180.9812500000007</v>
      </c>
      <c r="O18" s="171">
        <f t="shared" si="5"/>
        <v>177.55237500000013</v>
      </c>
      <c r="P18" s="171">
        <f t="shared" si="5"/>
        <v>177.55237500000013</v>
      </c>
      <c r="Q18" s="171">
        <f t="shared" si="5"/>
        <v>177.55237500000013</v>
      </c>
      <c r="R18" s="171">
        <f t="shared" si="5"/>
        <v>177.55237500000013</v>
      </c>
      <c r="S18" s="171">
        <f t="shared" si="5"/>
        <v>177.55237500000013</v>
      </c>
      <c r="T18" s="171">
        <f t="shared" si="5"/>
        <v>177.55237500000013</v>
      </c>
      <c r="U18" s="171">
        <f t="shared" si="5"/>
        <v>177.55237500000013</v>
      </c>
      <c r="V18" s="171">
        <f t="shared" si="5"/>
        <v>177.55237500000013</v>
      </c>
      <c r="W18" s="171">
        <f t="shared" si="5"/>
        <v>177.55237500000013</v>
      </c>
      <c r="X18" s="171">
        <f t="shared" si="5"/>
        <v>177.55237500000013</v>
      </c>
      <c r="Y18" s="171">
        <f t="shared" si="5"/>
        <v>-2015.4604166666668</v>
      </c>
      <c r="Z18" s="171">
        <f t="shared" si="5"/>
        <v>-6137.3661666666676</v>
      </c>
      <c r="AA18" s="171">
        <f t="shared" si="5"/>
        <v>-2687.3661666666676</v>
      </c>
      <c r="AB18" s="171">
        <f t="shared" si="5"/>
        <v>-2687.3661666666676</v>
      </c>
      <c r="AC18" s="171">
        <f t="shared" si="5"/>
        <v>-2687.3661666666676</v>
      </c>
      <c r="AD18" s="171">
        <f t="shared" si="5"/>
        <v>-2687.3661666666676</v>
      </c>
      <c r="AE18" s="171">
        <f t="shared" si="5"/>
        <v>-2687.3661666666676</v>
      </c>
      <c r="AF18" s="171">
        <f t="shared" si="5"/>
        <v>-2687.3661666666676</v>
      </c>
      <c r="AG18" s="171">
        <f t="shared" si="5"/>
        <v>-2687.3661666666676</v>
      </c>
      <c r="AH18" s="171">
        <f t="shared" si="5"/>
        <v>-2687.3661666666676</v>
      </c>
      <c r="AI18" s="171">
        <f t="shared" si="5"/>
        <v>-2687.3661666666676</v>
      </c>
      <c r="AJ18" s="171">
        <f t="shared" si="5"/>
        <v>-2687.3661666666676</v>
      </c>
      <c r="AK18" s="171">
        <f t="shared" si="5"/>
        <v>-2650.0870000000014</v>
      </c>
      <c r="AL18" s="171">
        <f t="shared" si="5"/>
        <v>5351.7952597999965</v>
      </c>
      <c r="AM18" s="171">
        <f t="shared" si="5"/>
        <v>9443.7952597999974</v>
      </c>
      <c r="AN18" s="171">
        <f t="shared" si="5"/>
        <v>9443.7952597999974</v>
      </c>
      <c r="AO18" s="171">
        <f t="shared" si="5"/>
        <v>9443.7952597999974</v>
      </c>
      <c r="AP18" s="171">
        <f t="shared" si="5"/>
        <v>9443.7952597999974</v>
      </c>
      <c r="AQ18" s="171">
        <f t="shared" si="5"/>
        <v>9443.7952597999974</v>
      </c>
      <c r="AR18" s="171">
        <f t="shared" si="5"/>
        <v>9443.7952597999974</v>
      </c>
      <c r="AS18" s="171">
        <f t="shared" si="5"/>
        <v>9443.7952597999974</v>
      </c>
      <c r="AT18" s="171">
        <f t="shared" si="5"/>
        <v>9443.7952597999974</v>
      </c>
      <c r="AU18" s="171">
        <f t="shared" si="5"/>
        <v>9443.7952597999974</v>
      </c>
      <c r="AV18" s="171">
        <f t="shared" si="5"/>
        <v>9443.7952597999974</v>
      </c>
      <c r="AW18" s="171">
        <f t="shared" si="5"/>
        <v>7325.8853499919969</v>
      </c>
      <c r="AX18" s="171">
        <f t="shared" si="5"/>
        <v>-4603.7620065333358</v>
      </c>
      <c r="AY18" s="171">
        <f t="shared" si="5"/>
        <v>1812.5170756879984</v>
      </c>
      <c r="AZ18" s="171">
        <f t="shared" si="5"/>
        <v>1812.5170756879984</v>
      </c>
      <c r="BA18" s="171">
        <f t="shared" si="5"/>
        <v>1812.5170756879984</v>
      </c>
      <c r="BB18" s="171">
        <f t="shared" si="5"/>
        <v>1812.5170756879984</v>
      </c>
      <c r="BC18" s="171">
        <f t="shared" si="5"/>
        <v>1812.5170756879984</v>
      </c>
      <c r="BD18" s="171">
        <f t="shared" si="5"/>
        <v>1812.5170756879984</v>
      </c>
      <c r="BE18" s="171">
        <f t="shared" si="5"/>
        <v>1812.5170756879984</v>
      </c>
      <c r="BF18" s="171">
        <f t="shared" si="5"/>
        <v>1812.5170756879984</v>
      </c>
      <c r="BG18" s="171">
        <f t="shared" si="5"/>
        <v>1812.5170756879984</v>
      </c>
      <c r="BH18" s="171">
        <f t="shared" si="5"/>
        <v>1812.5170756879984</v>
      </c>
      <c r="BI18" s="171">
        <f t="shared" si="5"/>
        <v>1812.5170756879984</v>
      </c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</row>
    <row r="19" spans="1:81" hidden="1">
      <c r="A19" s="173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</row>
    <row r="20" spans="1:81" ht="15.75">
      <c r="A20" s="175" t="s">
        <v>163</v>
      </c>
      <c r="B20" s="171">
        <f>B18</f>
        <v>-12437.9375</v>
      </c>
      <c r="C20" s="171">
        <f t="shared" ref="C20:BI20" si="6">B20+C18</f>
        <v>-15315.875</v>
      </c>
      <c r="D20" s="171">
        <f t="shared" si="6"/>
        <v>-18193.8125</v>
      </c>
      <c r="E20" s="171">
        <f t="shared" si="6"/>
        <v>-21071.75</v>
      </c>
      <c r="F20" s="171">
        <f t="shared" si="6"/>
        <v>-23949.6875</v>
      </c>
      <c r="G20" s="171">
        <f t="shared" si="6"/>
        <v>-26827.625</v>
      </c>
      <c r="H20" s="171">
        <f t="shared" si="6"/>
        <v>-29705.5625</v>
      </c>
      <c r="I20" s="171">
        <f t="shared" si="6"/>
        <v>-32583.5</v>
      </c>
      <c r="J20" s="171">
        <f t="shared" si="6"/>
        <v>-35461.4375</v>
      </c>
      <c r="K20" s="171">
        <f t="shared" si="6"/>
        <v>-38339.375</v>
      </c>
      <c r="L20" s="171">
        <f t="shared" si="6"/>
        <v>-41217.3125</v>
      </c>
      <c r="M20" s="171">
        <f t="shared" si="6"/>
        <v>-44095.25</v>
      </c>
      <c r="N20" s="171">
        <f t="shared" si="6"/>
        <v>-47276.231249999997</v>
      </c>
      <c r="O20" s="171">
        <f t="shared" si="6"/>
        <v>-47098.678874999998</v>
      </c>
      <c r="P20" s="171">
        <f t="shared" si="6"/>
        <v>-46921.126499999998</v>
      </c>
      <c r="Q20" s="171">
        <f t="shared" si="6"/>
        <v>-46743.574124999999</v>
      </c>
      <c r="R20" s="171">
        <f t="shared" si="6"/>
        <v>-46566.02175</v>
      </c>
      <c r="S20" s="171">
        <f t="shared" si="6"/>
        <v>-46388.469375000001</v>
      </c>
      <c r="T20" s="171">
        <f t="shared" si="6"/>
        <v>-46210.917000000001</v>
      </c>
      <c r="U20" s="171">
        <f t="shared" si="6"/>
        <v>-46033.364625000002</v>
      </c>
      <c r="V20" s="171">
        <f t="shared" si="6"/>
        <v>-45855.812250000003</v>
      </c>
      <c r="W20" s="171">
        <f t="shared" si="6"/>
        <v>-45678.259875000003</v>
      </c>
      <c r="X20" s="171">
        <f t="shared" si="6"/>
        <v>-45500.707500000004</v>
      </c>
      <c r="Y20" s="171">
        <f t="shared" si="6"/>
        <v>-47516.167916666673</v>
      </c>
      <c r="Z20" s="171">
        <f t="shared" si="6"/>
        <v>-53653.534083333339</v>
      </c>
      <c r="AA20" s="171">
        <f t="shared" si="6"/>
        <v>-56340.900250000006</v>
      </c>
      <c r="AB20" s="171">
        <f t="shared" si="6"/>
        <v>-59028.266416666673</v>
      </c>
      <c r="AC20" s="171">
        <f t="shared" si="6"/>
        <v>-61715.632583333339</v>
      </c>
      <c r="AD20" s="171">
        <f t="shared" si="6"/>
        <v>-64402.998750000006</v>
      </c>
      <c r="AE20" s="171">
        <f t="shared" si="6"/>
        <v>-67090.364916666673</v>
      </c>
      <c r="AF20" s="171">
        <f t="shared" si="6"/>
        <v>-69777.731083333347</v>
      </c>
      <c r="AG20" s="171">
        <f t="shared" si="6"/>
        <v>-72465.097250000021</v>
      </c>
      <c r="AH20" s="171">
        <f t="shared" si="6"/>
        <v>-75152.463416666695</v>
      </c>
      <c r="AI20" s="171">
        <f t="shared" si="6"/>
        <v>-77839.829583333369</v>
      </c>
      <c r="AJ20" s="171">
        <f t="shared" si="6"/>
        <v>-80527.195750000043</v>
      </c>
      <c r="AK20" s="171">
        <f t="shared" si="6"/>
        <v>-83177.282750000042</v>
      </c>
      <c r="AL20" s="171">
        <f t="shared" si="6"/>
        <v>-77825.487490200045</v>
      </c>
      <c r="AM20" s="171">
        <f t="shared" si="6"/>
        <v>-68381.692230400047</v>
      </c>
      <c r="AN20" s="171">
        <f t="shared" si="6"/>
        <v>-58937.89697060005</v>
      </c>
      <c r="AO20" s="171">
        <f t="shared" si="6"/>
        <v>-49494.101710800052</v>
      </c>
      <c r="AP20" s="171">
        <f t="shared" si="6"/>
        <v>-40050.306451000055</v>
      </c>
      <c r="AQ20" s="171">
        <f t="shared" si="6"/>
        <v>-30606.511191200058</v>
      </c>
      <c r="AR20" s="171">
        <f t="shared" si="6"/>
        <v>-21162.71593140006</v>
      </c>
      <c r="AS20" s="171">
        <f t="shared" si="6"/>
        <v>-11718.920671600063</v>
      </c>
      <c r="AT20" s="171">
        <f t="shared" si="6"/>
        <v>-2275.1254118000652</v>
      </c>
      <c r="AU20" s="171">
        <f t="shared" si="6"/>
        <v>7168.6698479999322</v>
      </c>
      <c r="AV20" s="171">
        <f t="shared" si="6"/>
        <v>16612.46510779993</v>
      </c>
      <c r="AW20" s="171">
        <f t="shared" si="6"/>
        <v>23938.350457791927</v>
      </c>
      <c r="AX20" s="171">
        <f t="shared" si="6"/>
        <v>19334.588451258591</v>
      </c>
      <c r="AY20" s="171">
        <f t="shared" si="6"/>
        <v>21147.105526946591</v>
      </c>
      <c r="AZ20" s="171">
        <f t="shared" si="6"/>
        <v>22959.62260263459</v>
      </c>
      <c r="BA20" s="171">
        <f t="shared" si="6"/>
        <v>24772.13967832259</v>
      </c>
      <c r="BB20" s="171">
        <f t="shared" si="6"/>
        <v>26584.65675401059</v>
      </c>
      <c r="BC20" s="171">
        <f t="shared" si="6"/>
        <v>28397.17382969859</v>
      </c>
      <c r="BD20" s="171">
        <f t="shared" si="6"/>
        <v>30209.690905386589</v>
      </c>
      <c r="BE20" s="171">
        <f t="shared" si="6"/>
        <v>32022.207981074589</v>
      </c>
      <c r="BF20" s="171">
        <f t="shared" si="6"/>
        <v>33834.725056762589</v>
      </c>
      <c r="BG20" s="171">
        <f t="shared" si="6"/>
        <v>35647.242132450585</v>
      </c>
      <c r="BH20" s="171">
        <f t="shared" si="6"/>
        <v>37459.759208138581</v>
      </c>
      <c r="BI20" s="171">
        <f t="shared" si="6"/>
        <v>39272.276283826577</v>
      </c>
      <c r="BJ20" s="176"/>
      <c r="BK20" s="176"/>
      <c r="BL20" s="176"/>
      <c r="BM20" s="176"/>
      <c r="BN20" s="176"/>
      <c r="BO20" s="176"/>
      <c r="BP20" s="176"/>
      <c r="BQ20" s="176"/>
      <c r="BR20" s="176"/>
      <c r="BS20" s="176"/>
      <c r="BT20" s="176"/>
      <c r="BU20" s="176"/>
      <c r="BV20" s="176"/>
      <c r="BW20" s="176"/>
      <c r="BX20" s="176"/>
      <c r="BY20" s="176"/>
      <c r="BZ20" s="176"/>
      <c r="CA20" s="176"/>
      <c r="CB20" s="176"/>
      <c r="CC20" s="176"/>
    </row>
    <row r="21" spans="1:81" ht="15.75" customHeight="1">
      <c r="A21" s="174"/>
    </row>
    <row r="22" spans="1:81" ht="15.75" customHeight="1">
      <c r="A22" s="177" t="s">
        <v>164</v>
      </c>
      <c r="B22" s="178" t="s">
        <v>22</v>
      </c>
      <c r="C22" s="178" t="s">
        <v>23</v>
      </c>
      <c r="D22" s="178" t="s">
        <v>24</v>
      </c>
      <c r="E22" s="178" t="s">
        <v>25</v>
      </c>
      <c r="F22" s="179" t="s">
        <v>26</v>
      </c>
    </row>
    <row r="23" spans="1:81" ht="15.75" customHeight="1">
      <c r="A23" s="180" t="str">
        <f t="shared" ref="A23:A25" si="7">A5</f>
        <v>Venda Assinatura</v>
      </c>
      <c r="B23" s="181">
        <f t="shared" ref="B23:B36" si="8">SUM(B5:M5)</f>
        <v>0</v>
      </c>
      <c r="C23" s="181">
        <f t="shared" ref="C23:C36" si="9">SUM(N5:Y5)</f>
        <v>11250</v>
      </c>
      <c r="D23" s="181">
        <f t="shared" ref="D23:D36" si="10">SUM(Z5:AK5)</f>
        <v>7500</v>
      </c>
      <c r="E23" s="181">
        <f t="shared" ref="E23:E36" si="11">SUM(AL5:AW5)</f>
        <v>41250</v>
      </c>
      <c r="F23" s="181">
        <f t="shared" ref="F23:F25" si="12">SUM(AX5:BI5)</f>
        <v>27750</v>
      </c>
    </row>
    <row r="24" spans="1:81" ht="15.75" customHeight="1">
      <c r="A24" s="180" t="str">
        <f t="shared" si="7"/>
        <v>Venda Jogo 1</v>
      </c>
      <c r="B24" s="182">
        <f t="shared" si="8"/>
        <v>58500</v>
      </c>
      <c r="C24" s="182">
        <f t="shared" si="9"/>
        <v>94791.666666666672</v>
      </c>
      <c r="D24" s="182">
        <f t="shared" si="10"/>
        <v>67708.333333333314</v>
      </c>
      <c r="E24" s="182">
        <f t="shared" si="11"/>
        <v>97500</v>
      </c>
      <c r="F24" s="182">
        <f t="shared" si="12"/>
        <v>78000</v>
      </c>
    </row>
    <row r="25" spans="1:81" ht="15.75" customHeight="1">
      <c r="A25" s="180" t="str">
        <f t="shared" si="7"/>
        <v>Venda Jogo 2</v>
      </c>
      <c r="B25" s="182">
        <f t="shared" si="8"/>
        <v>0</v>
      </c>
      <c r="C25" s="182">
        <f t="shared" si="9"/>
        <v>0</v>
      </c>
      <c r="D25" s="182">
        <f t="shared" si="10"/>
        <v>0</v>
      </c>
      <c r="E25" s="182">
        <f t="shared" si="11"/>
        <v>220000.00000000003</v>
      </c>
      <c r="F25" s="182">
        <f t="shared" si="12"/>
        <v>137499.99999999997</v>
      </c>
    </row>
    <row r="26" spans="1:81" ht="15.75" customHeight="1">
      <c r="A26" s="183" t="s">
        <v>156</v>
      </c>
      <c r="B26" s="184">
        <f t="shared" si="8"/>
        <v>58500</v>
      </c>
      <c r="C26" s="184">
        <f t="shared" si="9"/>
        <v>106041.66666666667</v>
      </c>
      <c r="D26" s="184">
        <f t="shared" si="10"/>
        <v>75208.333333333314</v>
      </c>
      <c r="E26" s="184">
        <f t="shared" si="11"/>
        <v>358749.99999999994</v>
      </c>
      <c r="F26" s="184">
        <f>SUM(F23:F25)</f>
        <v>243249.99999999997</v>
      </c>
    </row>
    <row r="27" spans="1:81" ht="15.75" customHeight="1">
      <c r="A27" s="185" t="s">
        <v>157</v>
      </c>
      <c r="B27" s="182">
        <f t="shared" si="8"/>
        <v>9155.25</v>
      </c>
      <c r="C27" s="182">
        <f t="shared" si="9"/>
        <v>16595.520833333332</v>
      </c>
      <c r="D27" s="182">
        <f t="shared" si="10"/>
        <v>11770.104166666666</v>
      </c>
      <c r="E27" s="182">
        <f t="shared" si="11"/>
        <v>56144.374999999978</v>
      </c>
      <c r="F27" s="182">
        <f t="shared" ref="F27:F36" si="13">SUM(AX9:BI9)</f>
        <v>38068.625000000007</v>
      </c>
    </row>
    <row r="28" spans="1:81" ht="15.75" customHeight="1">
      <c r="A28" s="183" t="s">
        <v>158</v>
      </c>
      <c r="B28" s="184">
        <f t="shared" si="8"/>
        <v>49344.75</v>
      </c>
      <c r="C28" s="184">
        <f t="shared" si="9"/>
        <v>89446.145833333328</v>
      </c>
      <c r="D28" s="184">
        <f t="shared" si="10"/>
        <v>63438.229166666672</v>
      </c>
      <c r="E28" s="184">
        <f t="shared" si="11"/>
        <v>302605.62499999994</v>
      </c>
      <c r="F28" s="184">
        <f t="shared" si="13"/>
        <v>205181.37499999997</v>
      </c>
    </row>
    <row r="29" spans="1:81" ht="15.75" customHeight="1">
      <c r="A29" s="185" t="s">
        <v>69</v>
      </c>
      <c r="B29" s="182">
        <f t="shared" si="8"/>
        <v>4135</v>
      </c>
      <c r="C29" s="182">
        <f t="shared" si="9"/>
        <v>3494.3999999999992</v>
      </c>
      <c r="D29" s="182">
        <f t="shared" si="10"/>
        <v>3509.6639999999989</v>
      </c>
      <c r="E29" s="182">
        <f t="shared" si="11"/>
        <v>5432.7662487999987</v>
      </c>
      <c r="F29" s="182">
        <f t="shared" si="13"/>
        <v>5702.9944704</v>
      </c>
    </row>
    <row r="30" spans="1:81" ht="15.75" customHeight="1">
      <c r="A30" s="185" t="s">
        <v>159</v>
      </c>
      <c r="B30" s="182">
        <f t="shared" si="8"/>
        <v>6000</v>
      </c>
      <c r="C30" s="182">
        <f t="shared" si="9"/>
        <v>1200</v>
      </c>
      <c r="D30" s="182">
        <f t="shared" si="10"/>
        <v>1200</v>
      </c>
      <c r="E30" s="182">
        <f t="shared" si="11"/>
        <v>3200</v>
      </c>
      <c r="F30" s="182">
        <f t="shared" si="13"/>
        <v>3600</v>
      </c>
    </row>
    <row r="31" spans="1:81" ht="15.75" customHeight="1">
      <c r="A31" s="185" t="s">
        <v>61</v>
      </c>
      <c r="B31" s="182">
        <f t="shared" si="8"/>
        <v>11305</v>
      </c>
      <c r="C31" s="182">
        <f t="shared" si="9"/>
        <v>10938</v>
      </c>
      <c r="D31" s="182">
        <f t="shared" si="10"/>
        <v>11243.280000000004</v>
      </c>
      <c r="E31" s="182">
        <f t="shared" si="11"/>
        <v>14956.876799999998</v>
      </c>
      <c r="F31" s="182">
        <f t="shared" si="13"/>
        <v>18776.289408000001</v>
      </c>
    </row>
    <row r="32" spans="1:81" ht="15.75" customHeight="1">
      <c r="A32" s="185" t="s">
        <v>160</v>
      </c>
      <c r="B32" s="182">
        <f t="shared" si="8"/>
        <v>72000</v>
      </c>
      <c r="C32" s="182">
        <f t="shared" si="9"/>
        <v>76320</v>
      </c>
      <c r="D32" s="182">
        <f t="shared" si="10"/>
        <v>83146.400000000009</v>
      </c>
      <c r="E32" s="182">
        <f t="shared" si="11"/>
        <v>116719.56800000001</v>
      </c>
      <c r="F32" s="182">
        <f t="shared" si="13"/>
        <v>151497.23520000002</v>
      </c>
    </row>
    <row r="33" spans="1:81" ht="15.75" customHeight="1">
      <c r="A33" s="183" t="s">
        <v>161</v>
      </c>
      <c r="B33" s="184">
        <f t="shared" si="8"/>
        <v>-44095.25</v>
      </c>
      <c r="C33" s="184">
        <f t="shared" si="9"/>
        <v>-2506.2541666666657</v>
      </c>
      <c r="D33" s="184">
        <f t="shared" si="10"/>
        <v>-35661.11483333334</v>
      </c>
      <c r="E33" s="184">
        <f t="shared" si="11"/>
        <v>162296.41395119991</v>
      </c>
      <c r="F33" s="184">
        <f t="shared" si="13"/>
        <v>25604.85592159997</v>
      </c>
    </row>
    <row r="34" spans="1:81" ht="15.75" customHeight="1">
      <c r="A34" s="185" t="s">
        <v>19</v>
      </c>
      <c r="B34" s="182">
        <f t="shared" si="8"/>
        <v>0</v>
      </c>
      <c r="C34" s="182">
        <f t="shared" si="9"/>
        <v>-672.54687500000045</v>
      </c>
      <c r="D34" s="182">
        <f t="shared" si="10"/>
        <v>0</v>
      </c>
      <c r="E34" s="182">
        <f t="shared" si="11"/>
        <v>-40574.103487799977</v>
      </c>
      <c r="F34" s="182">
        <f t="shared" si="13"/>
        <v>-7552.1544820333265</v>
      </c>
    </row>
    <row r="35" spans="1:81" ht="15.75" customHeight="1">
      <c r="A35" s="186" t="s">
        <v>20</v>
      </c>
      <c r="B35" s="187">
        <f t="shared" si="8"/>
        <v>0</v>
      </c>
      <c r="C35" s="187">
        <f t="shared" si="9"/>
        <v>-242.11687500000014</v>
      </c>
      <c r="D35" s="187">
        <f t="shared" si="10"/>
        <v>0</v>
      </c>
      <c r="E35" s="187">
        <f t="shared" si="11"/>
        <v>-14606.677255607996</v>
      </c>
      <c r="F35" s="187">
        <f t="shared" si="13"/>
        <v>-2718.7756135319974</v>
      </c>
    </row>
    <row r="36" spans="1:81" ht="15.75" customHeight="1">
      <c r="A36" s="188" t="s">
        <v>165</v>
      </c>
      <c r="B36" s="189">
        <f t="shared" si="8"/>
        <v>-44095.25</v>
      </c>
      <c r="C36" s="190">
        <f t="shared" si="9"/>
        <v>-3420.9179166666654</v>
      </c>
      <c r="D36" s="190">
        <f t="shared" si="10"/>
        <v>-35661.11483333334</v>
      </c>
      <c r="E36" s="190">
        <f t="shared" si="11"/>
        <v>107115.63320779197</v>
      </c>
      <c r="F36" s="191">
        <f t="shared" si="13"/>
        <v>15333.925826034643</v>
      </c>
      <c r="G36" s="168"/>
      <c r="H36" s="168"/>
    </row>
    <row r="37" spans="1:81" ht="15.75" customHeight="1">
      <c r="A37" s="192"/>
      <c r="B37" s="193"/>
      <c r="C37" s="194"/>
      <c r="D37" s="194"/>
      <c r="E37" s="194"/>
      <c r="F37" s="194"/>
      <c r="G37" s="195"/>
      <c r="H37" s="195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  <c r="AS37" s="196"/>
      <c r="AT37" s="196"/>
      <c r="AU37" s="196"/>
      <c r="AV37" s="196"/>
      <c r="AW37" s="196"/>
      <c r="AX37" s="196"/>
      <c r="AY37" s="196"/>
      <c r="AZ37" s="196"/>
      <c r="BA37" s="196"/>
      <c r="BB37" s="196"/>
      <c r="BC37" s="196"/>
      <c r="BD37" s="196"/>
      <c r="BE37" s="196"/>
      <c r="BF37" s="196"/>
      <c r="BG37" s="196"/>
      <c r="BH37" s="196"/>
      <c r="BI37" s="196"/>
      <c r="BJ37" s="196"/>
      <c r="BK37" s="196"/>
      <c r="BL37" s="196"/>
      <c r="BM37" s="196"/>
      <c r="BN37" s="196"/>
      <c r="BO37" s="196"/>
      <c r="BP37" s="196"/>
      <c r="BQ37" s="196"/>
      <c r="BR37" s="196"/>
      <c r="BS37" s="196"/>
      <c r="BT37" s="196"/>
      <c r="BU37" s="196"/>
      <c r="BV37" s="196"/>
      <c r="BW37" s="196"/>
      <c r="BX37" s="196"/>
      <c r="BY37" s="196"/>
      <c r="BZ37" s="196"/>
      <c r="CA37" s="196"/>
      <c r="CB37" s="196"/>
      <c r="CC37" s="196"/>
    </row>
    <row r="38" spans="1:81" ht="15.75" customHeight="1">
      <c r="A38" s="197" t="s">
        <v>166</v>
      </c>
      <c r="B38" s="198">
        <v>0.15</v>
      </c>
      <c r="C38" s="199"/>
      <c r="D38" s="199"/>
      <c r="E38" s="199"/>
      <c r="F38" s="199"/>
    </row>
    <row r="39" spans="1:81" ht="15.75" customHeight="1">
      <c r="A39" s="200" t="s">
        <v>167</v>
      </c>
      <c r="B39" s="201">
        <f t="array" ref="B39">NPV(B38,B36:F36)</f>
        <v>4489.2191810606437</v>
      </c>
      <c r="C39" s="199"/>
      <c r="D39" s="199"/>
      <c r="E39" s="199"/>
      <c r="F39" s="199"/>
      <c r="G39" s="202"/>
      <c r="H39" s="202"/>
      <c r="I39" s="202"/>
      <c r="J39" s="202"/>
    </row>
    <row r="40" spans="1:81" ht="15.75" customHeight="1">
      <c r="A40" s="203" t="s">
        <v>168</v>
      </c>
      <c r="B40" s="204">
        <v>80000</v>
      </c>
      <c r="C40" s="205" t="s">
        <v>169</v>
      </c>
      <c r="E40" s="206"/>
      <c r="G40" s="42"/>
    </row>
    <row r="41" spans="1:81" ht="15.75" customHeight="1">
      <c r="A41" s="207" t="s">
        <v>170</v>
      </c>
      <c r="B41" s="208">
        <f>IRR(B36:F36)</f>
        <v>0.18341265621700464</v>
      </c>
      <c r="C41" s="205" t="s">
        <v>171</v>
      </c>
      <c r="E41" s="206"/>
      <c r="F41" s="206"/>
    </row>
    <row r="42" spans="1:81" ht="15.75" customHeight="1">
      <c r="A42" s="203" t="s">
        <v>172</v>
      </c>
      <c r="B42" s="209">
        <f>B39</f>
        <v>4489.2191810606437</v>
      </c>
      <c r="D42" s="210"/>
    </row>
    <row r="43" spans="1:81" ht="15.75" customHeight="1">
      <c r="A43" s="203" t="s">
        <v>173</v>
      </c>
      <c r="B43" s="209">
        <f>B42+B40</f>
        <v>84489.219181060645</v>
      </c>
    </row>
    <row r="44" spans="1:81" ht="15.75" customHeight="1">
      <c r="A44" s="211" t="s">
        <v>174</v>
      </c>
      <c r="B44" s="212">
        <f>B40/B43</f>
        <v>0.94686636680308012</v>
      </c>
    </row>
    <row r="45" spans="1:81" ht="15.75" customHeight="1"/>
    <row r="46" spans="1:81" ht="15.75" customHeight="1"/>
    <row r="47" spans="1:81" ht="15.75" customHeight="1"/>
    <row r="48" spans="1:8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0866141732283472" right="0.70866141732283472" top="0.74803149606299213" bottom="0.74803149606299213" header="0" footer="0"/>
  <pageSetup paperSize="9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12</vt:i4>
      </vt:variant>
    </vt:vector>
  </HeadingPairs>
  <TitlesOfParts>
    <vt:vector size="19" baseType="lpstr">
      <vt:lpstr>Premissas</vt:lpstr>
      <vt:lpstr>Receita</vt:lpstr>
      <vt:lpstr>Investimentos_infra</vt:lpstr>
      <vt:lpstr>Despesas</vt:lpstr>
      <vt:lpstr>Custos</vt:lpstr>
      <vt:lpstr>Funcionários</vt:lpstr>
      <vt:lpstr>Resultados</vt:lpstr>
      <vt:lpstr>assinatura</vt:lpstr>
      <vt:lpstr>Company</vt:lpstr>
      <vt:lpstr>csll</vt:lpstr>
      <vt:lpstr>currency</vt:lpstr>
      <vt:lpstr>end</vt:lpstr>
      <vt:lpstr>imp_fat</vt:lpstr>
      <vt:lpstr>ir</vt:lpstr>
      <vt:lpstr>ir_csll</vt:lpstr>
      <vt:lpstr>ISS</vt:lpstr>
      <vt:lpstr>reajuste</vt:lpstr>
      <vt:lpstr>reajuste_sal</vt:lpstr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Guilherme Miyamoto Bragatto</cp:lastModifiedBy>
  <dcterms:created xsi:type="dcterms:W3CDTF">2008-01-22T14:21:52Z</dcterms:created>
  <dcterms:modified xsi:type="dcterms:W3CDTF">2023-10-26T13:42:55Z</dcterms:modified>
</cp:coreProperties>
</file>